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Lenovo Thinkpad E14\Downloads\calc_impresiones\documentos\"/>
    </mc:Choice>
  </mc:AlternateContent>
  <xr:revisionPtr revIDLastSave="0" documentId="13_ncr:1_{66190AB0-8C6B-48DB-B7B3-892F32BDAE1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abla de precios" sheetId="1" r:id="rId1"/>
    <sheet name="Supuestos" sheetId="2" r:id="rId2"/>
    <sheet name="Desglose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3" i="3" l="1"/>
  <c r="A23" i="3"/>
  <c r="B22" i="3"/>
  <c r="A22" i="3"/>
  <c r="B21" i="3"/>
  <c r="A21" i="3"/>
  <c r="B20" i="3"/>
  <c r="A20" i="3"/>
  <c r="B19" i="3"/>
  <c r="A19" i="3"/>
  <c r="B18" i="3"/>
  <c r="A18" i="3"/>
  <c r="B17" i="3"/>
  <c r="A17" i="3"/>
  <c r="B43" i="2"/>
  <c r="B44" i="2" s="1"/>
  <c r="B45" i="2" s="1"/>
  <c r="B42" i="2"/>
  <c r="B41" i="2"/>
  <c r="B40" i="2"/>
  <c r="B39" i="2"/>
  <c r="B38" i="2"/>
  <c r="F11" i="3" s="1"/>
  <c r="B37" i="2"/>
  <c r="B36" i="2"/>
  <c r="E11" i="3" s="1"/>
  <c r="E32" i="2"/>
  <c r="E31" i="2"/>
  <c r="E30" i="2"/>
  <c r="E29" i="2"/>
  <c r="E28" i="2"/>
  <c r="D14" i="1"/>
  <c r="D13" i="1"/>
  <c r="D12" i="1"/>
  <c r="D11" i="1"/>
  <c r="D8" i="1"/>
  <c r="D7" i="1"/>
  <c r="D6" i="1"/>
  <c r="C23" i="3" l="1"/>
  <c r="E23" i="3" s="1"/>
  <c r="D23" i="3"/>
  <c r="N11" i="3"/>
  <c r="O11" i="3" s="1"/>
  <c r="G10" i="3"/>
  <c r="G8" i="3"/>
  <c r="G9" i="3"/>
  <c r="G11" i="3"/>
  <c r="G7" i="3"/>
  <c r="G6" i="3"/>
  <c r="G5" i="3"/>
  <c r="I5" i="3" s="1"/>
  <c r="F10" i="3"/>
  <c r="F8" i="3"/>
  <c r="F9" i="3"/>
  <c r="F5" i="3"/>
  <c r="F7" i="3"/>
  <c r="F6" i="3"/>
  <c r="I6" i="3"/>
  <c r="I7" i="3"/>
  <c r="E9" i="3"/>
  <c r="E7" i="3"/>
  <c r="I9" i="3"/>
  <c r="E10" i="3"/>
  <c r="E5" i="3"/>
  <c r="E8" i="3"/>
  <c r="I8" i="3"/>
  <c r="E6" i="3"/>
  <c r="I10" i="3" l="1"/>
  <c r="I11" i="3"/>
  <c r="H11" i="3"/>
  <c r="K11" i="3"/>
  <c r="C14" i="1"/>
  <c r="C21" i="3"/>
  <c r="H9" i="3"/>
  <c r="N9" i="3"/>
  <c r="O9" i="3" s="1"/>
  <c r="C19" i="3"/>
  <c r="H7" i="3"/>
  <c r="N7" i="3"/>
  <c r="O7" i="3" s="1"/>
  <c r="C22" i="3"/>
  <c r="H10" i="3"/>
  <c r="N10" i="3"/>
  <c r="O10" i="3" s="1"/>
  <c r="C17" i="3"/>
  <c r="H5" i="3"/>
  <c r="N5" i="3"/>
  <c r="O5" i="3" s="1"/>
  <c r="C20" i="3"/>
  <c r="H8" i="3"/>
  <c r="N8" i="3"/>
  <c r="O8" i="3" s="1"/>
  <c r="C18" i="3"/>
  <c r="H6" i="3"/>
  <c r="N6" i="3"/>
  <c r="O6" i="3" s="1"/>
  <c r="L11" i="3" l="1"/>
  <c r="M11" i="3" s="1"/>
  <c r="C19" i="1"/>
  <c r="E21" i="3"/>
  <c r="D21" i="3"/>
  <c r="D19" i="1" s="1"/>
  <c r="K9" i="3"/>
  <c r="C12" i="1"/>
  <c r="E19" i="3"/>
  <c r="D19" i="3"/>
  <c r="K7" i="3"/>
  <c r="C8" i="1"/>
  <c r="E22" i="3"/>
  <c r="D22" i="3"/>
  <c r="K10" i="3"/>
  <c r="C13" i="1"/>
  <c r="C18" i="1"/>
  <c r="E17" i="3"/>
  <c r="D17" i="3"/>
  <c r="D18" i="1" s="1"/>
  <c r="K5" i="3"/>
  <c r="C6" i="1"/>
  <c r="E20" i="3"/>
  <c r="D20" i="3"/>
  <c r="C11" i="1"/>
  <c r="K8" i="3"/>
  <c r="E18" i="3"/>
  <c r="D18" i="3"/>
  <c r="K6" i="3"/>
  <c r="C7" i="1"/>
  <c r="G23" i="3" l="1"/>
  <c r="F14" i="1"/>
  <c r="F23" i="3"/>
  <c r="E14" i="1"/>
  <c r="L9" i="3"/>
  <c r="M9" i="3" s="1"/>
  <c r="L7" i="3"/>
  <c r="M7" i="3" s="1"/>
  <c r="L10" i="3"/>
  <c r="M10" i="3" s="1"/>
  <c r="L5" i="3"/>
  <c r="M5" i="3"/>
  <c r="L8" i="3"/>
  <c r="M8" i="3"/>
  <c r="L6" i="3"/>
  <c r="M6" i="3" s="1"/>
  <c r="F21" i="3" l="1"/>
  <c r="E19" i="1" s="1"/>
  <c r="E12" i="1"/>
  <c r="G21" i="3"/>
  <c r="F19" i="1" s="1"/>
  <c r="F12" i="1"/>
  <c r="F19" i="3"/>
  <c r="E8" i="1"/>
  <c r="G19" i="3"/>
  <c r="F8" i="1"/>
  <c r="G22" i="3"/>
  <c r="F13" i="1"/>
  <c r="F22" i="3"/>
  <c r="E13" i="1"/>
  <c r="F17" i="3"/>
  <c r="E18" i="1" s="1"/>
  <c r="E6" i="1"/>
  <c r="G17" i="3"/>
  <c r="F18" i="1" s="1"/>
  <c r="F6" i="1"/>
  <c r="F20" i="3"/>
  <c r="E11" i="1"/>
  <c r="G20" i="3"/>
  <c r="F11" i="1"/>
  <c r="G18" i="3"/>
  <c r="F7" i="1"/>
  <c r="F18" i="3"/>
  <c r="E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Cotizador</author>
  </authors>
  <commentList>
    <comment ref="D4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Precios acordados en septiembre de 2026.</t>
        </r>
      </text>
    </comment>
  </commentList>
</comments>
</file>

<file path=xl/sharedStrings.xml><?xml version="1.0" encoding="utf-8"?>
<sst xmlns="http://schemas.openxmlformats.org/spreadsheetml/2006/main" count="152" uniqueCount="130">
  <si>
    <t>Tabla de precios de impresión</t>
  </si>
  <si>
    <t>Impresora Ricoh MP C3003 · precio por hoja · tamaño carta y oficio · septiembre de 2026</t>
  </si>
  <si>
    <t>Rango</t>
  </si>
  <si>
    <t>¿Qué tipo de hoja es?</t>
  </si>
  <si>
    <t>Nos cuesta
(aprox.)</t>
  </si>
  <si>
    <t>Se cobra</t>
  </si>
  <si>
    <t>Para
ahorro</t>
  </si>
  <si>
    <t>Ganancia</t>
  </si>
  <si>
    <t>BLANCO Y NEGRO</t>
  </si>
  <si>
    <t>B/N normal</t>
  </si>
  <si>
    <t>Texto, tareas, cartas, formularios</t>
  </si>
  <si>
    <t>B/N cargado</t>
  </si>
  <si>
    <t>Tablas oscuras, gráficas o fotos en gris</t>
  </si>
  <si>
    <t>B/N total</t>
  </si>
  <si>
    <t>Foto en gris a página completa, fondos negros</t>
  </si>
  <si>
    <t>COLOR</t>
  </si>
  <si>
    <t>Color mínimo</t>
  </si>
  <si>
    <t>Documento con título, logo o firma a color</t>
  </si>
  <si>
    <t>Color medio</t>
  </si>
  <si>
    <t>Una foto o imagen de media página</t>
  </si>
  <si>
    <t>Color alto</t>
  </si>
  <si>
    <t>Dos fotos o una imagen grande</t>
  </si>
  <si>
    <t>Color total</t>
  </si>
  <si>
    <t>Foto o afiche a página completa</t>
  </si>
  <si>
    <t>¿Cuánto deja un tóner?</t>
  </si>
  <si>
    <t>Ejemplo</t>
  </si>
  <si>
    <t>Hojas</t>
  </si>
  <si>
    <t>Se vende</t>
  </si>
  <si>
    <t>Un tóner negro gastado en hojas de texto (B/N normal)</t>
  </si>
  <si>
    <t>Un tóner de color gastado en hojas con una foto (Color medio)</t>
  </si>
  <si>
    <t>Notas</t>
  </si>
  <si>
    <t>1. El programa revisa cada hoja y la pone sola en su rango según la tinta que usa. Si el trabajo tiene varias hojas, muestra cuántas hay de cada rango y el total.</t>
  </si>
  <si>
    <t>2. "Nos cuesta" incluye la tinta (con 15 % extra por seguridad), el papel, el mantenimiento de la impresora (técnico y repuestos) y la luz, para una hoja típica del rango. No incluye arriendo ni el tiempo de trabajo. Mantenimiento, luz y hojas al mes son estimados: ajustarlos en el programa (botón Costos).</t>
  </si>
  <si>
    <t>3. Blanco y negro se cobra $700 en los tres rangos. Los rangos se muestran para que se vea que una hoja de texto cuesta muy poco y que incluso una hoja casi toda negra sigue dejando buena ganancia.</t>
  </si>
  <si>
    <t>4. Color va de $1.000 a $4.000 según cuánta hoja ocupe el color. Una hoja de texto con un título o logo a color ya cuenta como color (rango mínimo).</t>
  </si>
  <si>
    <t>5. Lo que sobra después de pagar todos los costos se reparte mitad para ahorro (imprevistos, una impresora nueva algún día) y mitad ganancia. Se sugiere guardar el ahorro aparte.</t>
  </si>
  <si>
    <t>6. Oficio se cobra igual que carta. Una hoja oficio gasta cerca de 18 % más tinta y el papel cuesta $38 en vez de $30; como se vende poco y el margen es amplio, no vale la pena cobrarla distinto.</t>
  </si>
  <si>
    <t>7. Aun la hoja más cargada de cada rango queda cubierta por su precio (ver hoja Desglose, columna "Costo máximo").</t>
  </si>
  <si>
    <t>8. Precios de tóner y papel de septiembre de 2026. Si cambian, se actualizan en el programa (botón Costos) o en la hoja Supuestos de este archivo, y todo se recalcula solo.</t>
  </si>
  <si>
    <t>Supuestos del cálculo</t>
  </si>
  <si>
    <t>Celdas en azul con fondo amarillo = datos que se pueden cambiar. Todo lo demás se recalcula solo.</t>
  </si>
  <si>
    <t>Tóner</t>
  </si>
  <si>
    <t>Precio de un tóner de color (C, M o Y)</t>
  </si>
  <si>
    <t>Dato de Felipe, sep. 2026</t>
  </si>
  <si>
    <t>Rendimiento tóner de color (hojas al 5 %)</t>
  </si>
  <si>
    <t>Estimado de Felipe</t>
  </si>
  <si>
    <t>Precio del tóner negro (K)</t>
  </si>
  <si>
    <t>Rendimiento tóner negro (hojas al 5 %)</t>
  </si>
  <si>
    <t>Cobertura con que se mide el rendimiento</t>
  </si>
  <si>
    <t>Norma de los fabricantes</t>
  </si>
  <si>
    <t>Factor de corrección (seguridad en tinta)</t>
  </si>
  <si>
    <t>1,15 = se asume 15 % más tinta de la calculada</t>
  </si>
  <si>
    <t>Papel</t>
  </si>
  <si>
    <t>Resma carta</t>
  </si>
  <si>
    <t>Dato de Felipe</t>
  </si>
  <si>
    <t>Resma oficio</t>
  </si>
  <si>
    <t>Hojas por resma</t>
  </si>
  <si>
    <t>Alto hoja carta (mm)</t>
  </si>
  <si>
    <t>Mismo ancho que oficio (215,9 mm)</t>
  </si>
  <si>
    <t>Alto hoja oficio (mm)</t>
  </si>
  <si>
    <t>Oficio 21,6 × 33 cm</t>
  </si>
  <si>
    <t>Energía y volumen</t>
  </si>
  <si>
    <t>Potencia promedio encendida (W)</t>
  </si>
  <si>
    <t>Alto a propósito: la ficha Ricoh da 1,16 kWh/semana</t>
  </si>
  <si>
    <t>Horas encendida al día</t>
  </si>
  <si>
    <t>Días de trabajo al mes</t>
  </si>
  <si>
    <t>Precio del kWh</t>
  </si>
  <si>
    <t>EPM estrato 4: $885 (nov. 2026) + margen por recargos</t>
  </si>
  <si>
    <t>Hojas impresas al mes</t>
  </si>
  <si>
    <t>ESTIMADO: ver contador de la Ricoh</t>
  </si>
  <si>
    <t>Reparto de lo que sobra</t>
  </si>
  <si>
    <t>Parte para ahorro (imprevistos, reposición)</t>
  </si>
  <si>
    <t>El resto es ganancia</t>
  </si>
  <si>
    <t>Mantenimiento (cada repuesto o visita se reparte entre las hojas de su ciclo)</t>
  </si>
  <si>
    <t>Repuesto o visita</t>
  </si>
  <si>
    <t>Costo</t>
  </si>
  <si>
    <t>Cada (hojas)</t>
  </si>
  <si>
    <t>¿Solo color?</t>
  </si>
  <si>
    <t>Por hoja</t>
  </si>
  <si>
    <t>Visita técnica preventiva</t>
  </si>
  <si>
    <t>No</t>
  </si>
  <si>
    <t>Kit de fusor</t>
  </si>
  <si>
    <t>Unidad de imagen negra</t>
  </si>
  <si>
    <t>Unidades de imagen C, M, Y</t>
  </si>
  <si>
    <t>Sí</t>
  </si>
  <si>
    <t>Banda de transferencia</t>
  </si>
  <si>
    <t>ESTIMADOS: confirmar costos y ciclos con el técnico. Ciclo de 120.000 hojas: típico de kits de fusor Ricoh.</t>
  </si>
  <si>
    <t>Valores calculados</t>
  </si>
  <si>
    <t>Costo de tinta de color por hoja carta al 100 %</t>
  </si>
  <si>
    <t>precio ÷ rendimiento ÷ 5 %</t>
  </si>
  <si>
    <t>Costo de tinta negra por hoja carta al 100 %</t>
  </si>
  <si>
    <t>Papel por hoja carta</t>
  </si>
  <si>
    <t>Papel por hoja oficio</t>
  </si>
  <si>
    <t>Área oficio ÷ área carta</t>
  </si>
  <si>
    <t>la tinta crece con el área</t>
  </si>
  <si>
    <t>Mantenimiento por hoja b/n</t>
  </si>
  <si>
    <t>suma de repuestos que no son solo de color</t>
  </si>
  <si>
    <t>Mantenimiento por hoja a color</t>
  </si>
  <si>
    <t>todos los repuestos</t>
  </si>
  <si>
    <t>Energía al mes (kWh)</t>
  </si>
  <si>
    <t>Energía al mes ($)</t>
  </si>
  <si>
    <t>Energía por hoja</t>
  </si>
  <si>
    <t>la del mes ÷ hojas del mes</t>
  </si>
  <si>
    <t>Desglose de costos por rango (hoja carta)</t>
  </si>
  <si>
    <t>Azul = dato editable. Negro = fórmula. Verde = viene de la hoja Supuestos. Cobertura típica medida con páginas de referencia; límite = máximo del rango en el programa.</t>
  </si>
  <si>
    <t>Cobertura típica color (C+M+Y)</t>
  </si>
  <si>
    <t>Cobertura típica negro (K)</t>
  </si>
  <si>
    <t>Límite de cobertura del rango</t>
  </si>
  <si>
    <t>Tinta por hoja (típica)</t>
  </si>
  <si>
    <t>Papel por hoja</t>
  </si>
  <si>
    <t>Mantenimiento + energía</t>
  </si>
  <si>
    <t>Costo aproximado (todo)</t>
  </si>
  <si>
    <t>Costo máximo del rango</t>
  </si>
  <si>
    <t>Precio de venta</t>
  </si>
  <si>
    <t>Sobrante (venta − costo)</t>
  </si>
  <si>
    <t>Para ahorro</t>
  </si>
  <si>
    <t>Costo aproximado en oficio</t>
  </si>
  <si>
    <t>Ganancia en oficio</t>
  </si>
  <si>
    <t>¿Cuánto deja cada tóner?</t>
  </si>
  <si>
    <t>Si todo el tóner se gastara en hojas de un solo rango: cuántas hojas alcanza a pagar la tinta de un tóner, y cuánto entra por ellas. Incluye el factor de corrección.</t>
  </si>
  <si>
    <t>Precio de un tóner</t>
  </si>
  <si>
    <t>Hojas que paga ese tóner</t>
  </si>
  <si>
    <t>Ventas</t>
  </si>
  <si>
    <t>Papel, mantenimiento y energía</t>
  </si>
  <si>
    <t>Cómo leer esta tabla:</t>
  </si>
  <si>
    <t>• Tinta por hoja = (precio del tóner ÷ rendimiento) × (cobertura ÷ 5 %) × factor de corrección.</t>
  </si>
  <si>
    <t>• Mantenimiento + energía: repuestos y visitas repartidos por hoja, más la luz del mes ÷ hojas del mes (hoja Supuestos).</t>
  </si>
  <si>
    <t>• Sobrante = precio de venta − todos los costos. Se reparte entre ahorro y ganancia según el % de la hoja Supuestos.</t>
  </si>
  <si>
    <t>• Tóner: una hoja a color también gasta algo de negro; aquí se cuenta toda la tinta de la hoja contra un tóner.</t>
  </si>
  <si>
    <t>• No incluye arriendo ni el tiempo de trabajo.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</si>
</sst>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$&quot;#,##0"/>
    <numFmt numFmtId="165" formatCode="0.0%"/>
    <numFmt numFmtId="166" formatCode="0.0"/>
    <numFmt numFmtId="167" formatCode="&quot;$&quot;#,##0.0"/>
  </numFmts>
  <fonts count="18" x14ac:knownFonts="1">
    <font>
      <sz val="11"/>
      <color theme="1"/>
      <name val="Calibri"/>
      <family val="2"/>
      <scheme val="minor"/>
    </font>
    <font>
      <b/>
      <sz val="14"/>
      <color rgb="FF000000"/>
      <name val="Arial"/>
    </font>
    <font>
      <i/>
      <sz val="10"/>
      <color rgb="FF000000"/>
      <name val="Arial"/>
    </font>
    <font>
      <b/>
      <sz val="11"/>
      <color rgb="FF000000"/>
      <name val="Arial"/>
    </font>
    <font>
      <sz val="10"/>
      <color rgb="FF000000"/>
      <name val="Arial"/>
    </font>
    <font>
      <sz val="10"/>
      <color rgb="FF0000FF"/>
      <name val="Arial"/>
    </font>
    <font>
      <i/>
      <sz val="10"/>
      <color rgb="FF595959"/>
      <name val="Arial"/>
    </font>
    <font>
      <b/>
      <sz val="10"/>
      <color rgb="FFFFFFFF"/>
      <name val="Arial"/>
    </font>
    <font>
      <b/>
      <sz val="10"/>
      <color rgb="FF000000"/>
      <name val="Arial"/>
    </font>
    <font>
      <sz val="10"/>
      <color rgb="FF008000"/>
      <name val="Arial"/>
    </font>
    <font>
      <b/>
      <sz val="10"/>
      <color rgb="FF0000FF"/>
      <name val="Arial"/>
    </font>
    <font>
      <b/>
      <sz val="12"/>
      <color rgb="FF000000"/>
      <name val="Arial"/>
    </font>
    <font>
      <b/>
      <sz val="18"/>
      <color rgb="FF1F4E78"/>
      <name val="Arial"/>
    </font>
    <font>
      <sz val="11"/>
      <color rgb="FF595959"/>
      <name val="Arial"/>
    </font>
    <font>
      <b/>
      <sz val="11"/>
      <color rgb="FF1F4E78"/>
      <name val="Arial"/>
    </font>
    <font>
      <sz val="11"/>
      <color rgb="FF000000"/>
      <name val="Arial"/>
    </font>
    <font>
      <b/>
      <sz val="11"/>
      <color rgb="FF006100"/>
      <name val="Arial"/>
    </font>
    <font>
      <b/>
      <sz val="12"/>
      <color rgb="FF1F4E78"/>
      <name val="Arial"/>
    </font>
  </fonts>
  <fills count="11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D9D9"/>
      </patternFill>
    </fill>
    <fill>
      <patternFill patternType="solid">
        <fgColor rgb="FFBFBFBF"/>
      </patternFill>
    </fill>
    <fill>
      <patternFill patternType="solid">
        <fgColor rgb="FFFFF4D6"/>
      </patternFill>
    </fill>
    <fill>
      <patternFill patternType="solid">
        <fgColor rgb="FFFFE0B2"/>
      </patternFill>
    </fill>
    <fill>
      <patternFill patternType="solid">
        <fgColor rgb="FFFFCC99"/>
      </patternFill>
    </fill>
    <fill>
      <patternFill patternType="solid">
        <fgColor rgb="FFF8B195"/>
      </patternFill>
    </fill>
  </fills>
  <borders count="3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12" fillId="0" borderId="0" xfId="0" applyFont="1"/>
    <xf numFmtId="0" fontId="13" fillId="0" borderId="0" xfId="0" applyFont="1"/>
    <xf numFmtId="0" fontId="7" fillId="3" borderId="1" xfId="0" applyFont="1" applyFill="1" applyBorder="1" applyAlignment="1">
      <alignment horizontal="center" vertical="center" wrapText="1"/>
    </xf>
    <xf numFmtId="0" fontId="14" fillId="0" borderId="0" xfId="0" applyFont="1"/>
    <xf numFmtId="0" fontId="3" fillId="4" borderId="1" xfId="0" applyFont="1" applyFill="1" applyBorder="1" applyAlignment="1">
      <alignment horizontal="left" vertical="center" wrapText="1"/>
    </xf>
    <xf numFmtId="0" fontId="4" fillId="4" borderId="1" xfId="0" applyFont="1" applyFill="1" applyBorder="1" applyAlignment="1">
      <alignment horizontal="left" vertical="center" wrapText="1"/>
    </xf>
    <xf numFmtId="164" fontId="15" fillId="4" borderId="1" xfId="0" applyNumberFormat="1" applyFont="1" applyFill="1" applyBorder="1" applyAlignment="1">
      <alignment horizontal="center" vertical="center" wrapText="1"/>
    </xf>
    <xf numFmtId="164" fontId="11" fillId="4" borderId="1" xfId="0" applyNumberFormat="1" applyFont="1" applyFill="1" applyBorder="1" applyAlignment="1">
      <alignment horizontal="center" vertical="center" wrapText="1"/>
    </xf>
    <xf numFmtId="164" fontId="16" fillId="4" borderId="1" xfId="0" applyNumberFormat="1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left" vertical="center" wrapText="1"/>
    </xf>
    <xf numFmtId="164" fontId="15" fillId="5" borderId="1" xfId="0" applyNumberFormat="1" applyFont="1" applyFill="1" applyBorder="1" applyAlignment="1">
      <alignment horizontal="center" vertical="center" wrapText="1"/>
    </xf>
    <xf numFmtId="164" fontId="11" fillId="5" borderId="1" xfId="0" applyNumberFormat="1" applyFont="1" applyFill="1" applyBorder="1" applyAlignment="1">
      <alignment horizontal="center" vertical="center" wrapText="1"/>
    </xf>
    <xf numFmtId="164" fontId="16" fillId="5" borderId="1" xfId="0" applyNumberFormat="1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left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164" fontId="11" fillId="6" borderId="1" xfId="0" applyNumberFormat="1" applyFont="1" applyFill="1" applyBorder="1" applyAlignment="1">
      <alignment horizontal="center" vertical="center" wrapText="1"/>
    </xf>
    <xf numFmtId="164" fontId="16" fillId="6" borderId="1" xfId="0" applyNumberFormat="1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4" fillId="7" borderId="1" xfId="0" applyFont="1" applyFill="1" applyBorder="1" applyAlignment="1">
      <alignment horizontal="left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164" fontId="11" fillId="7" borderId="1" xfId="0" applyNumberFormat="1" applyFont="1" applyFill="1" applyBorder="1" applyAlignment="1">
      <alignment horizontal="center" vertical="center" wrapText="1"/>
    </xf>
    <xf numFmtId="164" fontId="16" fillId="7" borderId="1" xfId="0" applyNumberFormat="1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left" vertical="center" wrapText="1"/>
    </xf>
    <xf numFmtId="0" fontId="4" fillId="8" borderId="1" xfId="0" applyFont="1" applyFill="1" applyBorder="1" applyAlignment="1">
      <alignment horizontal="left" vertical="center" wrapText="1"/>
    </xf>
    <xf numFmtId="164" fontId="15" fillId="8" borderId="1" xfId="0" applyNumberFormat="1" applyFont="1" applyFill="1" applyBorder="1" applyAlignment="1">
      <alignment horizontal="center" vertical="center" wrapText="1"/>
    </xf>
    <xf numFmtId="164" fontId="11" fillId="8" borderId="1" xfId="0" applyNumberFormat="1" applyFont="1" applyFill="1" applyBorder="1" applyAlignment="1">
      <alignment horizontal="center" vertical="center" wrapText="1"/>
    </xf>
    <xf numFmtId="164" fontId="16" fillId="8" borderId="1" xfId="0" applyNumberFormat="1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left" vertical="center" wrapText="1"/>
    </xf>
    <xf numFmtId="0" fontId="4" fillId="9" borderId="1" xfId="0" applyFont="1" applyFill="1" applyBorder="1" applyAlignment="1">
      <alignment horizontal="left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164" fontId="11" fillId="9" borderId="1" xfId="0" applyNumberFormat="1" applyFont="1" applyFill="1" applyBorder="1" applyAlignment="1">
      <alignment horizontal="center" vertical="center" wrapText="1"/>
    </xf>
    <xf numFmtId="164" fontId="16" fillId="9" borderId="1" xfId="0" applyNumberFormat="1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left" vertical="center" wrapText="1"/>
    </xf>
    <xf numFmtId="0" fontId="4" fillId="10" borderId="1" xfId="0" applyFont="1" applyFill="1" applyBorder="1" applyAlignment="1">
      <alignment horizontal="left" vertical="center" wrapText="1"/>
    </xf>
    <xf numFmtId="164" fontId="15" fillId="10" borderId="1" xfId="0" applyNumberFormat="1" applyFont="1" applyFill="1" applyBorder="1" applyAlignment="1">
      <alignment horizontal="center" vertical="center" wrapText="1"/>
    </xf>
    <xf numFmtId="164" fontId="11" fillId="10" borderId="1" xfId="0" applyNumberFormat="1" applyFont="1" applyFill="1" applyBorder="1" applyAlignment="1">
      <alignment horizontal="center" vertical="center" wrapText="1"/>
    </xf>
    <xf numFmtId="164" fontId="16" fillId="10" borderId="1" xfId="0" applyNumberFormat="1" applyFont="1" applyFill="1" applyBorder="1" applyAlignment="1">
      <alignment horizontal="center" vertical="center" wrapText="1"/>
    </xf>
    <xf numFmtId="0" fontId="17" fillId="0" borderId="0" xfId="0" applyFont="1"/>
    <xf numFmtId="3" fontId="15" fillId="0" borderId="1" xfId="0" applyNumberFormat="1" applyFont="1" applyBorder="1" applyAlignment="1">
      <alignment horizontal="center" vertical="center"/>
    </xf>
    <xf numFmtId="164" fontId="15" fillId="0" borderId="1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164" fontId="5" fillId="2" borderId="1" xfId="0" applyNumberFormat="1" applyFont="1" applyFill="1" applyBorder="1"/>
    <xf numFmtId="0" fontId="6" fillId="0" borderId="0" xfId="0" applyFont="1"/>
    <xf numFmtId="3" fontId="5" fillId="2" borderId="1" xfId="0" applyNumberFormat="1" applyFont="1" applyFill="1" applyBorder="1"/>
    <xf numFmtId="165" fontId="5" fillId="2" borderId="1" xfId="0" applyNumberFormat="1" applyFont="1" applyFill="1" applyBorder="1"/>
    <xf numFmtId="2" fontId="5" fillId="2" borderId="1" xfId="0" applyNumberFormat="1" applyFont="1" applyFill="1" applyBorder="1"/>
    <xf numFmtId="166" fontId="5" fillId="2" borderId="1" xfId="0" applyNumberFormat="1" applyFont="1" applyFill="1" applyBorder="1"/>
    <xf numFmtId="1" fontId="5" fillId="2" borderId="1" xfId="0" applyNumberFormat="1" applyFont="1" applyFill="1" applyBorder="1"/>
    <xf numFmtId="0" fontId="5" fillId="0" borderId="0" xfId="0" applyFont="1"/>
    <xf numFmtId="0" fontId="5" fillId="2" borderId="1" xfId="0" applyFont="1" applyFill="1" applyBorder="1"/>
    <xf numFmtId="167" fontId="4" fillId="0" borderId="1" xfId="0" applyNumberFormat="1" applyFont="1" applyBorder="1"/>
    <xf numFmtId="164" fontId="4" fillId="0" borderId="1" xfId="0" applyNumberFormat="1" applyFont="1" applyBorder="1"/>
    <xf numFmtId="2" fontId="4" fillId="0" borderId="1" xfId="0" applyNumberFormat="1" applyFont="1" applyBorder="1"/>
    <xf numFmtId="3" fontId="4" fillId="0" borderId="1" xfId="0" applyNumberFormat="1" applyFont="1" applyBorder="1"/>
    <xf numFmtId="0" fontId="8" fillId="4" borderId="1" xfId="0" applyFont="1" applyFill="1" applyBorder="1" applyAlignment="1">
      <alignment horizontal="left"/>
    </xf>
    <xf numFmtId="165" fontId="5" fillId="0" borderId="1" xfId="0" applyNumberFormat="1" applyFont="1" applyBorder="1" applyAlignment="1">
      <alignment horizontal="center"/>
    </xf>
    <xf numFmtId="164" fontId="4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64" fontId="8" fillId="0" borderId="1" xfId="0" applyNumberFormat="1" applyFont="1" applyBorder="1" applyAlignment="1">
      <alignment horizontal="center"/>
    </xf>
    <xf numFmtId="164" fontId="10" fillId="0" borderId="1" xfId="0" applyNumberFormat="1" applyFont="1" applyBorder="1" applyAlignment="1">
      <alignment horizontal="center"/>
    </xf>
    <xf numFmtId="0" fontId="8" fillId="5" borderId="1" xfId="0" applyFont="1" applyFill="1" applyBorder="1" applyAlignment="1">
      <alignment horizontal="left"/>
    </xf>
    <xf numFmtId="0" fontId="8" fillId="6" borderId="1" xfId="0" applyFont="1" applyFill="1" applyBorder="1" applyAlignment="1">
      <alignment horizontal="left"/>
    </xf>
    <xf numFmtId="0" fontId="8" fillId="7" borderId="1" xfId="0" applyFont="1" applyFill="1" applyBorder="1" applyAlignment="1">
      <alignment horizontal="left"/>
    </xf>
    <xf numFmtId="0" fontId="8" fillId="8" borderId="1" xfId="0" applyFont="1" applyFill="1" applyBorder="1" applyAlignment="1">
      <alignment horizontal="left"/>
    </xf>
    <xf numFmtId="0" fontId="8" fillId="9" borderId="1" xfId="0" applyFont="1" applyFill="1" applyBorder="1" applyAlignment="1">
      <alignment horizontal="left"/>
    </xf>
    <xf numFmtId="0" fontId="8" fillId="10" borderId="1" xfId="0" applyFont="1" applyFill="1" applyBorder="1" applyAlignment="1">
      <alignment horizontal="left"/>
    </xf>
    <xf numFmtId="0" fontId="11" fillId="0" borderId="0" xfId="0" applyFont="1"/>
    <xf numFmtId="3" fontId="4" fillId="0" borderId="1" xfId="0" applyNumberFormat="1" applyFont="1" applyBorder="1" applyAlignment="1">
      <alignment horizontal="center"/>
    </xf>
    <xf numFmtId="0" fontId="8" fillId="0" borderId="0" xfId="0" applyFont="1"/>
    <xf numFmtId="0" fontId="4" fillId="0" borderId="0" xfId="0" applyFont="1" applyAlignment="1">
      <alignment vertical="top" wrapText="1"/>
    </xf>
    <xf numFmtId="0" fontId="0" fillId="0" borderId="0" xfId="0"/>
    <xf numFmtId="0" fontId="4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0" fillId="0" borderId="2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29"/>
  <sheetViews>
    <sheetView showGridLines="0" tabSelected="1" workbookViewId="0"/>
  </sheetViews>
  <sheetFormatPr baseColWidth="10" defaultColWidth="8.88671875" defaultRowHeight="14.4" x14ac:dyDescent="0.3"/>
  <cols>
    <col min="1" max="1" width="17" customWidth="1"/>
    <col min="2" max="2" width="42" customWidth="1"/>
    <col min="3" max="4" width="13" customWidth="1"/>
    <col min="5" max="5" width="15" customWidth="1"/>
    <col min="6" max="6" width="13" customWidth="1"/>
  </cols>
  <sheetData>
    <row r="1" spans="1:6" ht="22.8" x14ac:dyDescent="0.4">
      <c r="A1" s="1" t="s">
        <v>0</v>
      </c>
    </row>
    <row r="2" spans="1:6" x14ac:dyDescent="0.3">
      <c r="A2" s="2" t="s">
        <v>1</v>
      </c>
    </row>
    <row r="4" spans="1:6" ht="34.049999999999997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</row>
    <row r="5" spans="1:6" x14ac:dyDescent="0.3">
      <c r="A5" s="4" t="s">
        <v>8</v>
      </c>
    </row>
    <row r="6" spans="1:6" ht="22.05" customHeight="1" x14ac:dyDescent="0.3">
      <c r="A6" s="5" t="s">
        <v>9</v>
      </c>
      <c r="B6" s="6" t="s">
        <v>10</v>
      </c>
      <c r="C6" s="7">
        <f>Desglose!H5</f>
        <v>80.616666666666674</v>
      </c>
      <c r="D6" s="8">
        <f>Desglose!J5</f>
        <v>700</v>
      </c>
      <c r="E6" s="7">
        <f>Desglose!L5</f>
        <v>309.69166666666666</v>
      </c>
      <c r="F6" s="9">
        <f>Desglose!M5</f>
        <v>309.69166666666666</v>
      </c>
    </row>
    <row r="7" spans="1:6" ht="22.05" customHeight="1" x14ac:dyDescent="0.3">
      <c r="A7" s="10" t="s">
        <v>11</v>
      </c>
      <c r="B7" s="11" t="s">
        <v>12</v>
      </c>
      <c r="C7" s="12">
        <f>Desglose!H6</f>
        <v>108.7095238095238</v>
      </c>
      <c r="D7" s="13">
        <f>Desglose!J6</f>
        <v>700</v>
      </c>
      <c r="E7" s="12">
        <f>Desglose!L6</f>
        <v>295.64523809523808</v>
      </c>
      <c r="F7" s="14">
        <f>Desglose!M6</f>
        <v>295.64523809523808</v>
      </c>
    </row>
    <row r="8" spans="1:6" ht="22.05" customHeight="1" x14ac:dyDescent="0.3">
      <c r="A8" s="15" t="s">
        <v>13</v>
      </c>
      <c r="B8" s="16" t="s">
        <v>14</v>
      </c>
      <c r="C8" s="17">
        <f>Desglose!H7</f>
        <v>173.76666666666665</v>
      </c>
      <c r="D8" s="18">
        <f>Desglose!J7</f>
        <v>700</v>
      </c>
      <c r="E8" s="17">
        <f>Desglose!L7</f>
        <v>263.11666666666667</v>
      </c>
      <c r="F8" s="19">
        <f>Desglose!M7</f>
        <v>263.11666666666667</v>
      </c>
    </row>
    <row r="10" spans="1:6" x14ac:dyDescent="0.3">
      <c r="A10" s="4" t="s">
        <v>15</v>
      </c>
    </row>
    <row r="11" spans="1:6" ht="22.05" customHeight="1" x14ac:dyDescent="0.3">
      <c r="A11" s="20" t="s">
        <v>16</v>
      </c>
      <c r="B11" s="21" t="s">
        <v>17</v>
      </c>
      <c r="C11" s="22">
        <f>Desglose!H8</f>
        <v>109.42733893557423</v>
      </c>
      <c r="D11" s="23">
        <f>Desglose!J8</f>
        <v>1000</v>
      </c>
      <c r="E11" s="22">
        <f>Desglose!L8</f>
        <v>445.2863305322129</v>
      </c>
      <c r="F11" s="24">
        <f>Desglose!M8</f>
        <v>445.2863305322129</v>
      </c>
    </row>
    <row r="12" spans="1:6" ht="22.05" customHeight="1" x14ac:dyDescent="0.3">
      <c r="A12" s="25" t="s">
        <v>18</v>
      </c>
      <c r="B12" s="26" t="s">
        <v>19</v>
      </c>
      <c r="C12" s="27">
        <f>Desglose!H9</f>
        <v>215.5433473389356</v>
      </c>
      <c r="D12" s="28">
        <f>Desglose!J9</f>
        <v>2000</v>
      </c>
      <c r="E12" s="27">
        <f>Desglose!L9</f>
        <v>892.22832633053224</v>
      </c>
      <c r="F12" s="29">
        <f>Desglose!M9</f>
        <v>892.22832633053224</v>
      </c>
    </row>
    <row r="13" spans="1:6" ht="22.05" customHeight="1" x14ac:dyDescent="0.3">
      <c r="A13" s="30" t="s">
        <v>20</v>
      </c>
      <c r="B13" s="31" t="s">
        <v>21</v>
      </c>
      <c r="C13" s="32">
        <f>Desglose!H10</f>
        <v>348.59061624649854</v>
      </c>
      <c r="D13" s="33">
        <f>Desglose!J10</f>
        <v>3000</v>
      </c>
      <c r="E13" s="32">
        <f>Desglose!L10</f>
        <v>1325.7046918767508</v>
      </c>
      <c r="F13" s="34">
        <f>Desglose!M10</f>
        <v>1325.7046918767508</v>
      </c>
    </row>
    <row r="14" spans="1:6" ht="22.05" customHeight="1" x14ac:dyDescent="0.3">
      <c r="A14" s="35" t="s">
        <v>22</v>
      </c>
      <c r="B14" s="36" t="s">
        <v>23</v>
      </c>
      <c r="C14" s="37">
        <f>Desglose!H11</f>
        <v>461.60855742296917</v>
      </c>
      <c r="D14" s="38">
        <f>Desglose!J11</f>
        <v>4000</v>
      </c>
      <c r="E14" s="37">
        <f>Desglose!L11</f>
        <v>1769.1957212885154</v>
      </c>
      <c r="F14" s="39">
        <f>Desglose!M11</f>
        <v>1769.1957212885154</v>
      </c>
    </row>
    <row r="16" spans="1:6" ht="15.6" x14ac:dyDescent="0.3">
      <c r="A16" s="40" t="s">
        <v>24</v>
      </c>
    </row>
    <row r="17" spans="1:6" ht="30" customHeight="1" x14ac:dyDescent="0.3">
      <c r="A17" s="80" t="s">
        <v>25</v>
      </c>
      <c r="B17" s="81"/>
      <c r="C17" s="3" t="s">
        <v>26</v>
      </c>
      <c r="D17" s="3" t="s">
        <v>27</v>
      </c>
      <c r="E17" s="3" t="s">
        <v>6</v>
      </c>
      <c r="F17" s="3" t="s">
        <v>7</v>
      </c>
    </row>
    <row r="18" spans="1:6" ht="30" customHeight="1" x14ac:dyDescent="0.3">
      <c r="A18" s="78" t="s">
        <v>28</v>
      </c>
      <c r="B18" s="79"/>
      <c r="C18" s="41">
        <f>Desglose!C17</f>
        <v>17391.304347826088</v>
      </c>
      <c r="D18" s="42">
        <f>Desglose!D17</f>
        <v>12173913.043478262</v>
      </c>
      <c r="E18" s="42">
        <f>Desglose!F17</f>
        <v>5385942.0289855078</v>
      </c>
      <c r="F18" s="43">
        <f>Desglose!G17</f>
        <v>5385942.0289855078</v>
      </c>
    </row>
    <row r="19" spans="1:6" ht="30" customHeight="1" x14ac:dyDescent="0.3">
      <c r="A19" s="78" t="s">
        <v>29</v>
      </c>
      <c r="B19" s="79"/>
      <c r="C19" s="41">
        <f>Desglose!C21</f>
        <v>1506.2885966674946</v>
      </c>
      <c r="D19" s="42">
        <f>Desglose!D21</f>
        <v>3012577.1933349892</v>
      </c>
      <c r="E19" s="42">
        <f>Desglose!F21</f>
        <v>1343953.353575405</v>
      </c>
      <c r="F19" s="43">
        <f>Desglose!G21</f>
        <v>1343953.353575405</v>
      </c>
    </row>
    <row r="21" spans="1:6" ht="15.6" x14ac:dyDescent="0.3">
      <c r="A21" s="40" t="s">
        <v>30</v>
      </c>
    </row>
    <row r="22" spans="1:6" ht="31.95" customHeight="1" x14ac:dyDescent="0.3">
      <c r="A22" s="76" t="s">
        <v>31</v>
      </c>
      <c r="B22" s="77"/>
      <c r="C22" s="77"/>
      <c r="D22" s="77"/>
      <c r="E22" s="77"/>
      <c r="F22" s="77"/>
    </row>
    <row r="23" spans="1:6" ht="46.05" customHeight="1" x14ac:dyDescent="0.3">
      <c r="A23" s="76" t="s">
        <v>32</v>
      </c>
      <c r="B23" s="77"/>
      <c r="C23" s="77"/>
      <c r="D23" s="77"/>
      <c r="E23" s="77"/>
      <c r="F23" s="77"/>
    </row>
    <row r="24" spans="1:6" ht="31.95" customHeight="1" x14ac:dyDescent="0.3">
      <c r="A24" s="76" t="s">
        <v>33</v>
      </c>
      <c r="B24" s="77"/>
      <c r="C24" s="77"/>
      <c r="D24" s="77"/>
      <c r="E24" s="77"/>
      <c r="F24" s="77"/>
    </row>
    <row r="25" spans="1:6" ht="31.95" customHeight="1" x14ac:dyDescent="0.3">
      <c r="A25" s="76" t="s">
        <v>34</v>
      </c>
      <c r="B25" s="77"/>
      <c r="C25" s="77"/>
      <c r="D25" s="77"/>
      <c r="E25" s="77"/>
      <c r="F25" s="77"/>
    </row>
    <row r="26" spans="1:6" ht="31.95" customHeight="1" x14ac:dyDescent="0.3">
      <c r="A26" s="76" t="s">
        <v>35</v>
      </c>
      <c r="B26" s="77"/>
      <c r="C26" s="77"/>
      <c r="D26" s="77"/>
      <c r="E26" s="77"/>
      <c r="F26" s="77"/>
    </row>
    <row r="27" spans="1:6" ht="31.95" customHeight="1" x14ac:dyDescent="0.3">
      <c r="A27" s="76" t="s">
        <v>36</v>
      </c>
      <c r="B27" s="77"/>
      <c r="C27" s="77"/>
      <c r="D27" s="77"/>
      <c r="E27" s="77"/>
      <c r="F27" s="77"/>
    </row>
    <row r="28" spans="1:6" ht="31.95" customHeight="1" x14ac:dyDescent="0.3">
      <c r="A28" s="76" t="s">
        <v>37</v>
      </c>
      <c r="B28" s="77"/>
      <c r="C28" s="77"/>
      <c r="D28" s="77"/>
      <c r="E28" s="77"/>
      <c r="F28" s="77"/>
    </row>
    <row r="29" spans="1:6" ht="31.95" customHeight="1" x14ac:dyDescent="0.3">
      <c r="A29" s="76" t="s">
        <v>38</v>
      </c>
      <c r="B29" s="77"/>
      <c r="C29" s="77"/>
      <c r="D29" s="77"/>
      <c r="E29" s="77"/>
      <c r="F29" s="77"/>
    </row>
  </sheetData>
  <mergeCells count="11">
    <mergeCell ref="A17:B17"/>
    <mergeCell ref="A18:B18"/>
    <mergeCell ref="A29:F29"/>
    <mergeCell ref="A25:F25"/>
    <mergeCell ref="A24:F24"/>
    <mergeCell ref="A28:F28"/>
    <mergeCell ref="A19:B19"/>
    <mergeCell ref="A23:F23"/>
    <mergeCell ref="A27:F27"/>
    <mergeCell ref="A26:F26"/>
    <mergeCell ref="A22:F22"/>
  </mergeCells>
  <printOptions horizontalCentered="1"/>
  <pageMargins left="0.75" right="0.75" top="1" bottom="1" header="0.5" footer="0.5"/>
  <pageSetup orientation="portrait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5"/>
  <sheetViews>
    <sheetView workbookViewId="0"/>
  </sheetViews>
  <sheetFormatPr baseColWidth="10" defaultColWidth="8.88671875" defaultRowHeight="14.4" x14ac:dyDescent="0.3"/>
  <cols>
    <col min="1" max="1" width="48" customWidth="1"/>
    <col min="2" max="2" width="14" customWidth="1"/>
    <col min="3" max="3" width="46" customWidth="1"/>
    <col min="4" max="4" width="12" customWidth="1"/>
    <col min="5" max="5" width="11" customWidth="1"/>
  </cols>
  <sheetData>
    <row r="1" spans="1:3" ht="17.399999999999999" x14ac:dyDescent="0.3">
      <c r="A1" s="44" t="s">
        <v>39</v>
      </c>
    </row>
    <row r="2" spans="1:3" x14ac:dyDescent="0.3">
      <c r="A2" s="45" t="s">
        <v>40</v>
      </c>
    </row>
    <row r="4" spans="1:3" x14ac:dyDescent="0.3">
      <c r="A4" s="46" t="s">
        <v>41</v>
      </c>
    </row>
    <row r="5" spans="1:3" x14ac:dyDescent="0.3">
      <c r="A5" s="47" t="s">
        <v>42</v>
      </c>
      <c r="B5" s="48">
        <v>200000</v>
      </c>
      <c r="C5" s="49" t="s">
        <v>43</v>
      </c>
    </row>
    <row r="6" spans="1:3" x14ac:dyDescent="0.3">
      <c r="A6" s="47" t="s">
        <v>44</v>
      </c>
      <c r="B6" s="50">
        <v>17000</v>
      </c>
      <c r="C6" s="49" t="s">
        <v>45</v>
      </c>
    </row>
    <row r="7" spans="1:3" x14ac:dyDescent="0.3">
      <c r="A7" s="47" t="s">
        <v>46</v>
      </c>
      <c r="B7" s="48">
        <v>180000</v>
      </c>
      <c r="C7" s="49" t="s">
        <v>43</v>
      </c>
    </row>
    <row r="8" spans="1:3" x14ac:dyDescent="0.3">
      <c r="A8" s="47" t="s">
        <v>47</v>
      </c>
      <c r="B8" s="50">
        <v>28000</v>
      </c>
      <c r="C8" s="49" t="s">
        <v>45</v>
      </c>
    </row>
    <row r="9" spans="1:3" x14ac:dyDescent="0.3">
      <c r="A9" s="47" t="s">
        <v>48</v>
      </c>
      <c r="B9" s="51">
        <v>0.05</v>
      </c>
      <c r="C9" s="49" t="s">
        <v>49</v>
      </c>
    </row>
    <row r="10" spans="1:3" x14ac:dyDescent="0.3">
      <c r="A10" s="47" t="s">
        <v>50</v>
      </c>
      <c r="B10" s="52">
        <v>1.1499999999999999</v>
      </c>
      <c r="C10" s="49" t="s">
        <v>51</v>
      </c>
    </row>
    <row r="11" spans="1:3" x14ac:dyDescent="0.3">
      <c r="A11" s="46" t="s">
        <v>52</v>
      </c>
    </row>
    <row r="12" spans="1:3" x14ac:dyDescent="0.3">
      <c r="A12" s="47" t="s">
        <v>53</v>
      </c>
      <c r="B12" s="48">
        <v>15000</v>
      </c>
      <c r="C12" s="49" t="s">
        <v>54</v>
      </c>
    </row>
    <row r="13" spans="1:3" x14ac:dyDescent="0.3">
      <c r="A13" s="47" t="s">
        <v>55</v>
      </c>
      <c r="B13" s="48">
        <v>19000</v>
      </c>
      <c r="C13" s="49" t="s">
        <v>54</v>
      </c>
    </row>
    <row r="14" spans="1:3" x14ac:dyDescent="0.3">
      <c r="A14" s="47" t="s">
        <v>56</v>
      </c>
      <c r="B14" s="50">
        <v>500</v>
      </c>
      <c r="C14" s="49" t="s">
        <v>54</v>
      </c>
    </row>
    <row r="15" spans="1:3" x14ac:dyDescent="0.3">
      <c r="A15" s="47" t="s">
        <v>57</v>
      </c>
      <c r="B15" s="53">
        <v>279.39999999999998</v>
      </c>
      <c r="C15" s="49" t="s">
        <v>58</v>
      </c>
    </row>
    <row r="16" spans="1:3" x14ac:dyDescent="0.3">
      <c r="A16" s="47" t="s">
        <v>59</v>
      </c>
      <c r="B16" s="53">
        <v>330.2</v>
      </c>
      <c r="C16" s="49" t="s">
        <v>60</v>
      </c>
    </row>
    <row r="17" spans="1:5" x14ac:dyDescent="0.3">
      <c r="A17" s="46" t="s">
        <v>61</v>
      </c>
    </row>
    <row r="18" spans="1:5" x14ac:dyDescent="0.3">
      <c r="A18" s="47" t="s">
        <v>62</v>
      </c>
      <c r="B18" s="50">
        <v>150</v>
      </c>
      <c r="C18" s="49" t="s">
        <v>63</v>
      </c>
    </row>
    <row r="19" spans="1:5" x14ac:dyDescent="0.3">
      <c r="A19" s="47" t="s">
        <v>64</v>
      </c>
      <c r="B19" s="53">
        <v>12</v>
      </c>
      <c r="C19" s="49"/>
    </row>
    <row r="20" spans="1:5" x14ac:dyDescent="0.3">
      <c r="A20" s="47" t="s">
        <v>65</v>
      </c>
      <c r="B20" s="54">
        <v>26</v>
      </c>
      <c r="C20" s="49"/>
    </row>
    <row r="21" spans="1:5" x14ac:dyDescent="0.3">
      <c r="A21" s="47" t="s">
        <v>66</v>
      </c>
      <c r="B21" s="48">
        <v>1000</v>
      </c>
      <c r="C21" s="49" t="s">
        <v>67</v>
      </c>
    </row>
    <row r="22" spans="1:5" x14ac:dyDescent="0.3">
      <c r="A22" s="47" t="s">
        <v>68</v>
      </c>
      <c r="B22" s="50">
        <v>3000</v>
      </c>
      <c r="C22" s="49" t="s">
        <v>69</v>
      </c>
    </row>
    <row r="23" spans="1:5" x14ac:dyDescent="0.3">
      <c r="A23" s="46" t="s">
        <v>70</v>
      </c>
    </row>
    <row r="24" spans="1:5" x14ac:dyDescent="0.3">
      <c r="A24" s="47" t="s">
        <v>71</v>
      </c>
      <c r="B24" s="51">
        <v>0.5</v>
      </c>
      <c r="C24" s="49" t="s">
        <v>72</v>
      </c>
    </row>
    <row r="26" spans="1:5" x14ac:dyDescent="0.3">
      <c r="A26" s="46" t="s">
        <v>73</v>
      </c>
    </row>
    <row r="27" spans="1:5" ht="26.4" x14ac:dyDescent="0.3">
      <c r="A27" s="3" t="s">
        <v>74</v>
      </c>
      <c r="B27" s="3" t="s">
        <v>75</v>
      </c>
      <c r="C27" s="3" t="s">
        <v>76</v>
      </c>
      <c r="D27" s="3" t="s">
        <v>77</v>
      </c>
      <c r="E27" s="3" t="s">
        <v>78</v>
      </c>
    </row>
    <row r="28" spans="1:5" x14ac:dyDescent="0.3">
      <c r="A28" s="55" t="s">
        <v>79</v>
      </c>
      <c r="B28" s="48">
        <v>180000</v>
      </c>
      <c r="C28" s="50">
        <v>30000</v>
      </c>
      <c r="D28" s="56" t="s">
        <v>80</v>
      </c>
      <c r="E28" s="57">
        <f>B28/C28</f>
        <v>6</v>
      </c>
    </row>
    <row r="29" spans="1:5" x14ac:dyDescent="0.3">
      <c r="A29" s="55" t="s">
        <v>81</v>
      </c>
      <c r="B29" s="48">
        <v>1200000</v>
      </c>
      <c r="C29" s="50">
        <v>120000</v>
      </c>
      <c r="D29" s="56" t="s">
        <v>80</v>
      </c>
      <c r="E29" s="57">
        <f>B29/C29</f>
        <v>10</v>
      </c>
    </row>
    <row r="30" spans="1:5" x14ac:dyDescent="0.3">
      <c r="A30" s="55" t="s">
        <v>82</v>
      </c>
      <c r="B30" s="48">
        <v>500000</v>
      </c>
      <c r="C30" s="50">
        <v>120000</v>
      </c>
      <c r="D30" s="56" t="s">
        <v>80</v>
      </c>
      <c r="E30" s="57">
        <f>B30/C30</f>
        <v>4.166666666666667</v>
      </c>
    </row>
    <row r="31" spans="1:5" x14ac:dyDescent="0.3">
      <c r="A31" s="55" t="s">
        <v>83</v>
      </c>
      <c r="B31" s="48">
        <v>1500000</v>
      </c>
      <c r="C31" s="50">
        <v>120000</v>
      </c>
      <c r="D31" s="56" t="s">
        <v>84</v>
      </c>
      <c r="E31" s="57">
        <f>B31/C31</f>
        <v>12.5</v>
      </c>
    </row>
    <row r="32" spans="1:5" x14ac:dyDescent="0.3">
      <c r="A32" s="55" t="s">
        <v>85</v>
      </c>
      <c r="B32" s="48">
        <v>900000</v>
      </c>
      <c r="C32" s="50">
        <v>200000</v>
      </c>
      <c r="D32" s="56" t="s">
        <v>80</v>
      </c>
      <c r="E32" s="57">
        <f>B32/C32</f>
        <v>4.5</v>
      </c>
    </row>
    <row r="33" spans="1:3" x14ac:dyDescent="0.3">
      <c r="A33" s="49" t="s">
        <v>86</v>
      </c>
    </row>
    <row r="35" spans="1:3" x14ac:dyDescent="0.3">
      <c r="A35" s="46" t="s">
        <v>87</v>
      </c>
    </row>
    <row r="36" spans="1:3" x14ac:dyDescent="0.3">
      <c r="A36" s="47" t="s">
        <v>88</v>
      </c>
      <c r="B36" s="58">
        <f>Supuestos!$B$5/Supuestos!$B$6/Supuestos!$B$9</f>
        <v>235.29411764705884</v>
      </c>
      <c r="C36" s="49" t="s">
        <v>89</v>
      </c>
    </row>
    <row r="37" spans="1:3" x14ac:dyDescent="0.3">
      <c r="A37" s="47" t="s">
        <v>90</v>
      </c>
      <c r="B37" s="58">
        <f>Supuestos!$B$7/Supuestos!$B$8/Supuestos!$B$9</f>
        <v>128.57142857142856</v>
      </c>
      <c r="C37" s="49" t="s">
        <v>89</v>
      </c>
    </row>
    <row r="38" spans="1:3" x14ac:dyDescent="0.3">
      <c r="A38" s="47" t="s">
        <v>91</v>
      </c>
      <c r="B38" s="58">
        <f>Supuestos!$B$12/Supuestos!$B$14</f>
        <v>30</v>
      </c>
      <c r="C38" s="49"/>
    </row>
    <row r="39" spans="1:3" x14ac:dyDescent="0.3">
      <c r="A39" s="47" t="s">
        <v>92</v>
      </c>
      <c r="B39" s="58">
        <f>Supuestos!$B$13/Supuestos!$B$14</f>
        <v>38</v>
      </c>
      <c r="C39" s="49"/>
    </row>
    <row r="40" spans="1:3" x14ac:dyDescent="0.3">
      <c r="A40" s="47" t="s">
        <v>93</v>
      </c>
      <c r="B40" s="59">
        <f>Supuestos!$B$16/Supuestos!$B$15</f>
        <v>1.1818181818181819</v>
      </c>
      <c r="C40" s="49" t="s">
        <v>94</v>
      </c>
    </row>
    <row r="41" spans="1:3" x14ac:dyDescent="0.3">
      <c r="A41" s="47" t="s">
        <v>95</v>
      </c>
      <c r="B41" s="58">
        <f>SUMPRODUCT(Supuestos!$B$28:$B$32/Supuestos!$C$28:$C$32*(Supuestos!$D$28:$D$32="No"))</f>
        <v>24.666666666666668</v>
      </c>
      <c r="C41" s="49" t="s">
        <v>96</v>
      </c>
    </row>
    <row r="42" spans="1:3" x14ac:dyDescent="0.3">
      <c r="A42" s="47" t="s">
        <v>97</v>
      </c>
      <c r="B42" s="58">
        <f>SUMPRODUCT(Supuestos!$B$28:$B$32/Supuestos!$C$28:$C$32)</f>
        <v>37.166666666666671</v>
      </c>
      <c r="C42" s="49" t="s">
        <v>98</v>
      </c>
    </row>
    <row r="43" spans="1:3" x14ac:dyDescent="0.3">
      <c r="A43" s="47" t="s">
        <v>99</v>
      </c>
      <c r="B43" s="60">
        <f>Supuestos!$B$18/1000*Supuestos!$B$19*Supuestos!$B$20</f>
        <v>46.8</v>
      </c>
      <c r="C43" s="49"/>
    </row>
    <row r="44" spans="1:3" x14ac:dyDescent="0.3">
      <c r="A44" s="47" t="s">
        <v>100</v>
      </c>
      <c r="B44" s="58">
        <f>B43*Supuestos!$B$21</f>
        <v>46800</v>
      </c>
      <c r="C44" s="49"/>
    </row>
    <row r="45" spans="1:3" x14ac:dyDescent="0.3">
      <c r="A45" s="47" t="s">
        <v>101</v>
      </c>
      <c r="B45" s="58">
        <f>B44/Supuestos!$B$22</f>
        <v>15.6</v>
      </c>
      <c r="C45" s="49" t="s">
        <v>102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30"/>
  <sheetViews>
    <sheetView workbookViewId="0">
      <pane xSplit="1" ySplit="4" topLeftCell="B5" activePane="bottomRight" state="frozen"/>
      <selection pane="topRight"/>
      <selection pane="bottomLeft"/>
      <selection pane="bottomRight"/>
    </sheetView>
  </sheetViews>
  <sheetFormatPr baseColWidth="10" defaultColWidth="8.88671875" defaultRowHeight="14.4" x14ac:dyDescent="0.3"/>
  <cols>
    <col min="1" max="1" width="16" customWidth="1"/>
    <col min="2" max="4" width="14" customWidth="1"/>
    <col min="5" max="5" width="13" customWidth="1"/>
    <col min="6" max="6" width="11" customWidth="1"/>
    <col min="7" max="9" width="14" customWidth="1"/>
    <col min="10" max="10" width="12" customWidth="1"/>
    <col min="11" max="11" width="14" customWidth="1"/>
    <col min="12" max="13" width="12" customWidth="1"/>
    <col min="14" max="14" width="14" customWidth="1"/>
    <col min="15" max="15" width="13" customWidth="1"/>
  </cols>
  <sheetData>
    <row r="1" spans="1:15" ht="17.399999999999999" x14ac:dyDescent="0.3">
      <c r="A1" s="44" t="s">
        <v>103</v>
      </c>
    </row>
    <row r="2" spans="1:15" x14ac:dyDescent="0.3">
      <c r="A2" s="45" t="s">
        <v>104</v>
      </c>
    </row>
    <row r="4" spans="1:15" ht="48" customHeight="1" x14ac:dyDescent="0.3">
      <c r="A4" s="3" t="s">
        <v>2</v>
      </c>
      <c r="B4" s="3" t="s">
        <v>105</v>
      </c>
      <c r="C4" s="3" t="s">
        <v>106</v>
      </c>
      <c r="D4" s="3" t="s">
        <v>107</v>
      </c>
      <c r="E4" s="3" t="s">
        <v>108</v>
      </c>
      <c r="F4" s="3" t="s">
        <v>109</v>
      </c>
      <c r="G4" s="3" t="s">
        <v>110</v>
      </c>
      <c r="H4" s="3" t="s">
        <v>111</v>
      </c>
      <c r="I4" s="3" t="s">
        <v>112</v>
      </c>
      <c r="J4" s="3" t="s">
        <v>113</v>
      </c>
      <c r="K4" s="3" t="s">
        <v>114</v>
      </c>
      <c r="L4" s="3" t="s">
        <v>115</v>
      </c>
      <c r="M4" s="3" t="s">
        <v>7</v>
      </c>
      <c r="N4" s="3" t="s">
        <v>116</v>
      </c>
      <c r="O4" s="3" t="s">
        <v>117</v>
      </c>
    </row>
    <row r="5" spans="1:15" x14ac:dyDescent="0.3">
      <c r="A5" s="61" t="s">
        <v>9</v>
      </c>
      <c r="B5" s="62">
        <v>0</v>
      </c>
      <c r="C5" s="62">
        <v>7.0000000000000007E-2</v>
      </c>
      <c r="D5" s="62">
        <v>0.12</v>
      </c>
      <c r="E5" s="63">
        <f>(B5*Supuestos!$B$36+C5*Supuestos!$B$37)*Supuestos!$B$10</f>
        <v>10.35</v>
      </c>
      <c r="F5" s="64">
        <f>Supuestos!$B$38</f>
        <v>30</v>
      </c>
      <c r="G5" s="64">
        <f>Supuestos!$B$41+Supuestos!$B$45</f>
        <v>40.266666666666666</v>
      </c>
      <c r="H5" s="65">
        <f t="shared" ref="H5:H11" si="0">E5+F5+G5</f>
        <v>80.616666666666674</v>
      </c>
      <c r="I5" s="63">
        <f>D5*Supuestos!$B$37*Supuestos!$B$10+F5+G5</f>
        <v>88.009523809523799</v>
      </c>
      <c r="J5" s="66">
        <v>700</v>
      </c>
      <c r="K5" s="63">
        <f t="shared" ref="K5:K11" si="1">J5-H5</f>
        <v>619.38333333333333</v>
      </c>
      <c r="L5" s="63">
        <f>K5*Supuestos!$B$24</f>
        <v>309.69166666666666</v>
      </c>
      <c r="M5" s="65">
        <f t="shared" ref="M5:M11" si="2">K5-L5</f>
        <v>309.69166666666666</v>
      </c>
      <c r="N5" s="63">
        <f>E5*Supuestos!$B$40+Supuestos!$B$39+G5</f>
        <v>90.49848484848485</v>
      </c>
      <c r="O5" s="63">
        <f>(J5-N5)*(1-Supuestos!$B$24)</f>
        <v>304.75075757575758</v>
      </c>
    </row>
    <row r="6" spans="1:15" x14ac:dyDescent="0.3">
      <c r="A6" s="67" t="s">
        <v>11</v>
      </c>
      <c r="B6" s="62">
        <v>0</v>
      </c>
      <c r="C6" s="62">
        <v>0.26</v>
      </c>
      <c r="D6" s="62">
        <v>0.4</v>
      </c>
      <c r="E6" s="63">
        <f>(B6*Supuestos!$B$36+C6*Supuestos!$B$37)*Supuestos!$B$10</f>
        <v>38.442857142857136</v>
      </c>
      <c r="F6" s="64">
        <f>Supuestos!$B$38</f>
        <v>30</v>
      </c>
      <c r="G6" s="64">
        <f>Supuestos!$B$41+Supuestos!$B$45</f>
        <v>40.266666666666666</v>
      </c>
      <c r="H6" s="65">
        <f t="shared" si="0"/>
        <v>108.7095238095238</v>
      </c>
      <c r="I6" s="63">
        <f>D6*Supuestos!$B$37*Supuestos!$B$10+F6+G6</f>
        <v>129.40952380952382</v>
      </c>
      <c r="J6" s="66">
        <v>700</v>
      </c>
      <c r="K6" s="63">
        <f t="shared" si="1"/>
        <v>591.29047619047617</v>
      </c>
      <c r="L6" s="63">
        <f>K6*Supuestos!$B$24</f>
        <v>295.64523809523808</v>
      </c>
      <c r="M6" s="65">
        <f t="shared" si="2"/>
        <v>295.64523809523808</v>
      </c>
      <c r="N6" s="63">
        <f>E6*Supuestos!$B$40+Supuestos!$B$39+G6</f>
        <v>123.69913419913419</v>
      </c>
      <c r="O6" s="63">
        <f>(J6-N6)*(1-Supuestos!$B$24)</f>
        <v>288.15043290043292</v>
      </c>
    </row>
    <row r="7" spans="1:15" x14ac:dyDescent="0.3">
      <c r="A7" s="68" t="s">
        <v>13</v>
      </c>
      <c r="B7" s="62">
        <v>0</v>
      </c>
      <c r="C7" s="62">
        <v>0.7</v>
      </c>
      <c r="D7" s="62">
        <v>1</v>
      </c>
      <c r="E7" s="63">
        <f>(B7*Supuestos!$B$36+C7*Supuestos!$B$37)*Supuestos!$B$10</f>
        <v>103.49999999999997</v>
      </c>
      <c r="F7" s="64">
        <f>Supuestos!$B$38</f>
        <v>30</v>
      </c>
      <c r="G7" s="64">
        <f>Supuestos!$B$41+Supuestos!$B$45</f>
        <v>40.266666666666666</v>
      </c>
      <c r="H7" s="65">
        <f t="shared" si="0"/>
        <v>173.76666666666665</v>
      </c>
      <c r="I7" s="63">
        <f>D7*Supuestos!$B$37*Supuestos!$B$10+F7+G7</f>
        <v>218.12380952380948</v>
      </c>
      <c r="J7" s="66">
        <v>700</v>
      </c>
      <c r="K7" s="63">
        <f t="shared" si="1"/>
        <v>526.23333333333335</v>
      </c>
      <c r="L7" s="63">
        <f>K7*Supuestos!$B$24</f>
        <v>263.11666666666667</v>
      </c>
      <c r="M7" s="65">
        <f t="shared" si="2"/>
        <v>263.11666666666667</v>
      </c>
      <c r="N7" s="63">
        <f>E7*Supuestos!$B$40+Supuestos!$B$39+G7</f>
        <v>200.58484848484846</v>
      </c>
      <c r="O7" s="63">
        <f>(J7-N7)*(1-Supuestos!$B$24)</f>
        <v>249.70757575757577</v>
      </c>
    </row>
    <row r="8" spans="1:15" x14ac:dyDescent="0.3">
      <c r="A8" s="69" t="s">
        <v>16</v>
      </c>
      <c r="B8" s="62">
        <v>5.7000000000000002E-2</v>
      </c>
      <c r="C8" s="62">
        <v>7.5999999999999998E-2</v>
      </c>
      <c r="D8" s="62">
        <v>0.2</v>
      </c>
      <c r="E8" s="63">
        <f>(B8*Supuestos!$B$36+C8*Supuestos!$B$37)*Supuestos!$B$10</f>
        <v>26.660672268907565</v>
      </c>
      <c r="F8" s="64">
        <f>Supuestos!$B$38</f>
        <v>30</v>
      </c>
      <c r="G8" s="64">
        <f>Supuestos!$B$42+Supuestos!$B$45</f>
        <v>52.766666666666673</v>
      </c>
      <c r="H8" s="65">
        <f t="shared" si="0"/>
        <v>109.42733893557423</v>
      </c>
      <c r="I8" s="63">
        <f>D8*Supuestos!$B$36*Supuestos!$B$10+F8+G8</f>
        <v>136.88431372549022</v>
      </c>
      <c r="J8" s="66">
        <v>1000</v>
      </c>
      <c r="K8" s="63">
        <f t="shared" si="1"/>
        <v>890.5726610644258</v>
      </c>
      <c r="L8" s="63">
        <f>K8*Supuestos!$B$24</f>
        <v>445.2863305322129</v>
      </c>
      <c r="M8" s="65">
        <f t="shared" si="2"/>
        <v>445.2863305322129</v>
      </c>
      <c r="N8" s="63">
        <f>E8*Supuestos!$B$40+Supuestos!$B$39+G8</f>
        <v>122.27473389355742</v>
      </c>
      <c r="O8" s="63">
        <f>(J8-N8)*(1-Supuestos!$B$24)</f>
        <v>438.86263305322132</v>
      </c>
    </row>
    <row r="9" spans="1:15" x14ac:dyDescent="0.3">
      <c r="A9" s="70" t="s">
        <v>18</v>
      </c>
      <c r="B9" s="62">
        <v>0.40600000000000003</v>
      </c>
      <c r="C9" s="62">
        <v>0.155</v>
      </c>
      <c r="D9" s="62">
        <v>0.8</v>
      </c>
      <c r="E9" s="63">
        <f>(B9*Supuestos!$B$36+C9*Supuestos!$B$37)*Supuestos!$B$10</f>
        <v>132.77668067226892</v>
      </c>
      <c r="F9" s="64">
        <f>Supuestos!$B$38</f>
        <v>30</v>
      </c>
      <c r="G9" s="64">
        <f>Supuestos!$B$42+Supuestos!$B$45</f>
        <v>52.766666666666673</v>
      </c>
      <c r="H9" s="65">
        <f t="shared" si="0"/>
        <v>215.5433473389356</v>
      </c>
      <c r="I9" s="63">
        <f>D9*Supuestos!$B$36*Supuestos!$B$10+F9+G9</f>
        <v>299.2372549019608</v>
      </c>
      <c r="J9" s="66">
        <v>2000</v>
      </c>
      <c r="K9" s="63">
        <f t="shared" si="1"/>
        <v>1784.4566526610645</v>
      </c>
      <c r="L9" s="63">
        <f>K9*Supuestos!$B$24</f>
        <v>892.22832633053224</v>
      </c>
      <c r="M9" s="65">
        <f t="shared" si="2"/>
        <v>892.22832633053224</v>
      </c>
      <c r="N9" s="63">
        <f>E9*Supuestos!$B$40+Supuestos!$B$39+G9</f>
        <v>247.68456200662087</v>
      </c>
      <c r="O9" s="63">
        <f>(J9-N9)*(1-Supuestos!$B$24)</f>
        <v>876.1577189966896</v>
      </c>
    </row>
    <row r="10" spans="1:15" x14ac:dyDescent="0.3">
      <c r="A10" s="71" t="s">
        <v>20</v>
      </c>
      <c r="B10" s="62">
        <v>0.81299999999999994</v>
      </c>
      <c r="C10" s="62">
        <v>0.31</v>
      </c>
      <c r="D10" s="62">
        <v>1.4</v>
      </c>
      <c r="E10" s="63">
        <f>(B10*Supuestos!$B$36+C10*Supuestos!$B$37)*Supuestos!$B$10</f>
        <v>265.82394957983189</v>
      </c>
      <c r="F10" s="64">
        <f>Supuestos!$B$38</f>
        <v>30</v>
      </c>
      <c r="G10" s="64">
        <f>Supuestos!$B$42+Supuestos!$B$45</f>
        <v>52.766666666666673</v>
      </c>
      <c r="H10" s="65">
        <f t="shared" si="0"/>
        <v>348.59061624649854</v>
      </c>
      <c r="I10" s="63">
        <f>D10*Supuestos!$B$36*Supuestos!$B$10+F10+G10</f>
        <v>461.59019607843135</v>
      </c>
      <c r="J10" s="66">
        <v>3000</v>
      </c>
      <c r="K10" s="63">
        <f t="shared" si="1"/>
        <v>2651.4093837535015</v>
      </c>
      <c r="L10" s="63">
        <f>K10*Supuestos!$B$24</f>
        <v>1325.7046918767508</v>
      </c>
      <c r="M10" s="65">
        <f t="shared" si="2"/>
        <v>1325.7046918767508</v>
      </c>
      <c r="N10" s="63">
        <f>E10*Supuestos!$B$40+Supuestos!$B$39+G10</f>
        <v>404.92224344283164</v>
      </c>
      <c r="O10" s="63">
        <f>(J10-N10)*(1-Supuestos!$B$24)</f>
        <v>1297.5388782785842</v>
      </c>
    </row>
    <row r="11" spans="1:15" x14ac:dyDescent="0.3">
      <c r="A11" s="72" t="s">
        <v>22</v>
      </c>
      <c r="B11" s="62">
        <v>1.1579999999999999</v>
      </c>
      <c r="C11" s="62">
        <v>0.443</v>
      </c>
      <c r="D11" s="62">
        <v>2.5</v>
      </c>
      <c r="E11" s="63">
        <f>(B11*Supuestos!$B$36+C11*Supuestos!$B$37)*Supuestos!$B$10</f>
        <v>378.84189075630252</v>
      </c>
      <c r="F11" s="64">
        <f>Supuestos!$B$38</f>
        <v>30</v>
      </c>
      <c r="G11" s="64">
        <f>Supuestos!$B$42+Supuestos!$B$45</f>
        <v>52.766666666666673</v>
      </c>
      <c r="H11" s="65">
        <f t="shared" si="0"/>
        <v>461.60855742296917</v>
      </c>
      <c r="I11" s="63">
        <f>D11*Supuestos!$B$36*Supuestos!$B$10+F11+G11</f>
        <v>759.23725490196068</v>
      </c>
      <c r="J11" s="66">
        <v>4000</v>
      </c>
      <c r="K11" s="63">
        <f t="shared" si="1"/>
        <v>3538.3914425770308</v>
      </c>
      <c r="L11" s="63">
        <f>K11*Supuestos!$B$24</f>
        <v>1769.1957212885154</v>
      </c>
      <c r="M11" s="65">
        <f t="shared" si="2"/>
        <v>1769.1957212885154</v>
      </c>
      <c r="N11" s="63">
        <f>E11*Supuestos!$B$40+Supuestos!$B$39+G11</f>
        <v>538.48890119684245</v>
      </c>
      <c r="O11" s="63">
        <f>(J11-N11)*(1-Supuestos!$B$24)</f>
        <v>1730.7555494015787</v>
      </c>
    </row>
    <row r="14" spans="1:15" ht="15.6" x14ac:dyDescent="0.3">
      <c r="A14" s="73" t="s">
        <v>118</v>
      </c>
    </row>
    <row r="15" spans="1:15" x14ac:dyDescent="0.3">
      <c r="A15" s="45" t="s">
        <v>119</v>
      </c>
    </row>
    <row r="16" spans="1:15" ht="31.95" customHeight="1" x14ac:dyDescent="0.3">
      <c r="A16" s="3" t="s">
        <v>2</v>
      </c>
      <c r="B16" s="3" t="s">
        <v>120</v>
      </c>
      <c r="C16" s="3" t="s">
        <v>121</v>
      </c>
      <c r="D16" s="3" t="s">
        <v>122</v>
      </c>
      <c r="E16" s="3" t="s">
        <v>123</v>
      </c>
      <c r="F16" s="3" t="s">
        <v>115</v>
      </c>
      <c r="G16" s="3" t="s">
        <v>7</v>
      </c>
    </row>
    <row r="17" spans="1:7" x14ac:dyDescent="0.3">
      <c r="A17" s="61" t="str">
        <f t="shared" ref="A17:A23" si="3">A5</f>
        <v>B/N normal</v>
      </c>
      <c r="B17" s="64">
        <f>Supuestos!$B$7</f>
        <v>180000</v>
      </c>
      <c r="C17" s="74">
        <f t="shared" ref="C17:C23" si="4">B17/E5</f>
        <v>17391.304347826088</v>
      </c>
      <c r="D17" s="63">
        <f t="shared" ref="D17:D23" si="5">C17*J5</f>
        <v>12173913.043478262</v>
      </c>
      <c r="E17" s="63">
        <f t="shared" ref="E17:E23" si="6">C17*(F5+G5)</f>
        <v>1222028.9855072463</v>
      </c>
      <c r="F17" s="63">
        <f t="shared" ref="F17:F23" si="7">C17*L5</f>
        <v>5385942.0289855078</v>
      </c>
      <c r="G17" s="65">
        <f t="shared" ref="G17:G23" si="8">C17*M5</f>
        <v>5385942.0289855078</v>
      </c>
    </row>
    <row r="18" spans="1:7" x14ac:dyDescent="0.3">
      <c r="A18" s="67" t="str">
        <f t="shared" si="3"/>
        <v>B/N cargado</v>
      </c>
      <c r="B18" s="64">
        <f>Supuestos!$B$7</f>
        <v>180000</v>
      </c>
      <c r="C18" s="74">
        <f t="shared" si="4"/>
        <v>4682.2742474916395</v>
      </c>
      <c r="D18" s="63">
        <f t="shared" si="5"/>
        <v>3277591.9732441478</v>
      </c>
      <c r="E18" s="63">
        <f t="shared" si="6"/>
        <v>329007.80379041255</v>
      </c>
      <c r="F18" s="63">
        <f t="shared" si="7"/>
        <v>1384292.0847268675</v>
      </c>
      <c r="G18" s="65">
        <f t="shared" si="8"/>
        <v>1384292.0847268675</v>
      </c>
    </row>
    <row r="19" spans="1:7" x14ac:dyDescent="0.3">
      <c r="A19" s="68" t="str">
        <f t="shared" si="3"/>
        <v>B/N total</v>
      </c>
      <c r="B19" s="64">
        <f>Supuestos!$B$7</f>
        <v>180000</v>
      </c>
      <c r="C19" s="74">
        <f t="shared" si="4"/>
        <v>1739.1304347826092</v>
      </c>
      <c r="D19" s="63">
        <f t="shared" si="5"/>
        <v>1217391.3043478264</v>
      </c>
      <c r="E19" s="63">
        <f t="shared" si="6"/>
        <v>122202.89855072467</v>
      </c>
      <c r="F19" s="63">
        <f t="shared" si="7"/>
        <v>457594.2028985509</v>
      </c>
      <c r="G19" s="65">
        <f t="shared" si="8"/>
        <v>457594.2028985509</v>
      </c>
    </row>
    <row r="20" spans="1:7" x14ac:dyDescent="0.3">
      <c r="A20" s="69" t="str">
        <f t="shared" si="3"/>
        <v>Color mínimo</v>
      </c>
      <c r="B20" s="64">
        <f>Supuestos!$B$5</f>
        <v>200000</v>
      </c>
      <c r="C20" s="74">
        <f t="shared" si="4"/>
        <v>7501.6863034337548</v>
      </c>
      <c r="D20" s="63">
        <f t="shared" si="5"/>
        <v>7501686.3034337545</v>
      </c>
      <c r="E20" s="63">
        <f t="shared" si="6"/>
        <v>620889.56971420057</v>
      </c>
      <c r="F20" s="63">
        <f t="shared" si="7"/>
        <v>3340398.3668597774</v>
      </c>
      <c r="G20" s="65">
        <f t="shared" si="8"/>
        <v>3340398.3668597774</v>
      </c>
    </row>
    <row r="21" spans="1:7" x14ac:dyDescent="0.3">
      <c r="A21" s="70" t="str">
        <f t="shared" si="3"/>
        <v>Color medio</v>
      </c>
      <c r="B21" s="64">
        <f>Supuestos!$B$5</f>
        <v>200000</v>
      </c>
      <c r="C21" s="74">
        <f t="shared" si="4"/>
        <v>1506.2885966674946</v>
      </c>
      <c r="D21" s="63">
        <f t="shared" si="5"/>
        <v>3012577.1933349892</v>
      </c>
      <c r="E21" s="63">
        <f t="shared" si="6"/>
        <v>124670.48618417965</v>
      </c>
      <c r="F21" s="63">
        <f t="shared" si="7"/>
        <v>1343953.353575405</v>
      </c>
      <c r="G21" s="65">
        <f t="shared" si="8"/>
        <v>1343953.353575405</v>
      </c>
    </row>
    <row r="22" spans="1:7" x14ac:dyDescent="0.3">
      <c r="A22" s="71" t="str">
        <f t="shared" si="3"/>
        <v>Color alto</v>
      </c>
      <c r="B22" s="64">
        <f>Supuestos!$B$5</f>
        <v>200000</v>
      </c>
      <c r="C22" s="74">
        <f t="shared" si="4"/>
        <v>752.37765564812764</v>
      </c>
      <c r="D22" s="63">
        <f t="shared" si="5"/>
        <v>2257132.966944383</v>
      </c>
      <c r="E22" s="63">
        <f t="shared" si="6"/>
        <v>62271.79063247671</v>
      </c>
      <c r="F22" s="63">
        <f t="shared" si="7"/>
        <v>997430.5881559531</v>
      </c>
      <c r="G22" s="65">
        <f t="shared" si="8"/>
        <v>997430.5881559531</v>
      </c>
    </row>
    <row r="23" spans="1:7" x14ac:dyDescent="0.3">
      <c r="A23" s="72" t="str">
        <f t="shared" si="3"/>
        <v>Color total</v>
      </c>
      <c r="B23" s="64">
        <f>Supuestos!$B$5</f>
        <v>200000</v>
      </c>
      <c r="C23" s="74">
        <f t="shared" si="4"/>
        <v>527.92472237093216</v>
      </c>
      <c r="D23" s="63">
        <f t="shared" si="5"/>
        <v>2111698.8894837284</v>
      </c>
      <c r="E23" s="63">
        <f t="shared" si="6"/>
        <v>43694.569521567493</v>
      </c>
      <c r="F23" s="63">
        <f t="shared" si="7"/>
        <v>934002.15998108056</v>
      </c>
      <c r="G23" s="65">
        <f t="shared" si="8"/>
        <v>934002.15998108056</v>
      </c>
    </row>
    <row r="25" spans="1:7" x14ac:dyDescent="0.3">
      <c r="A25" s="75" t="s">
        <v>124</v>
      </c>
    </row>
    <row r="26" spans="1:7" x14ac:dyDescent="0.3">
      <c r="A26" s="47" t="s">
        <v>125</v>
      </c>
    </row>
    <row r="27" spans="1:7" x14ac:dyDescent="0.3">
      <c r="A27" s="47" t="s">
        <v>126</v>
      </c>
    </row>
    <row r="28" spans="1:7" x14ac:dyDescent="0.3">
      <c r="A28" s="47" t="s">
        <v>127</v>
      </c>
    </row>
    <row r="29" spans="1:7" x14ac:dyDescent="0.3">
      <c r="A29" s="47" t="s">
        <v>128</v>
      </c>
    </row>
    <row r="30" spans="1:7" x14ac:dyDescent="0.3">
      <c r="A30" s="47" t="s">
        <v>129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Tabla de precios</vt:lpstr>
      <vt:lpstr>Supuestos</vt:lpstr>
      <vt:lpstr>Desglose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Felipe Henao</cp:lastModifiedBy>
  <dcterms:created xsi:type="dcterms:W3CDTF">2026-10-06T21:04:57Z</dcterms:created>
  <dcterms:modified xsi:type="dcterms:W3CDTF">2026-10-06T21:04:59Z</dcterms:modified>
</cp:coreProperties>
</file>
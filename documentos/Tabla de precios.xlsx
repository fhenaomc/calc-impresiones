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 Thinkpad E14\Downloads\calc_impresiones\documentos\"/>
    </mc:Choice>
  </mc:AlternateContent>
  <xr:revisionPtr revIDLastSave="0" documentId="13_ncr:1_{81CEEF20-3D0F-498A-AF31-0B3A76465AD6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Tabla de precios" sheetId="1" r:id="rId1"/>
    <sheet name="Supuestos" sheetId="2" r:id="rId2"/>
    <sheet name="Desglo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M11" i="3"/>
  <c r="M10" i="3"/>
  <c r="M9" i="3"/>
  <c r="M8" i="3"/>
  <c r="M7" i="3"/>
  <c r="M6" i="3"/>
  <c r="M5" i="3"/>
  <c r="B27" i="2"/>
  <c r="B26" i="2"/>
  <c r="B25" i="2"/>
  <c r="B24" i="2"/>
  <c r="B23" i="2"/>
  <c r="D14" i="1"/>
  <c r="D13" i="1"/>
  <c r="D12" i="1"/>
  <c r="D11" i="1"/>
  <c r="D8" i="1"/>
  <c r="D7" i="1"/>
  <c r="D6" i="1"/>
  <c r="F11" i="3" l="1"/>
  <c r="H11" i="3" s="1"/>
  <c r="F10" i="3"/>
  <c r="H10" i="3" s="1"/>
  <c r="F8" i="3"/>
  <c r="F9" i="3"/>
  <c r="F7" i="3"/>
  <c r="F6" i="3"/>
  <c r="F5" i="3"/>
  <c r="H7" i="3"/>
  <c r="H6" i="3"/>
  <c r="H5" i="3"/>
  <c r="E10" i="3"/>
  <c r="E11" i="3"/>
  <c r="H9" i="3"/>
  <c r="E9" i="3"/>
  <c r="H8" i="3"/>
  <c r="E8" i="3"/>
  <c r="E7" i="3"/>
  <c r="E6" i="3"/>
  <c r="E5" i="3"/>
  <c r="C22" i="3" l="1"/>
  <c r="G10" i="3"/>
  <c r="O10" i="3"/>
  <c r="P10" i="3" s="1"/>
  <c r="C23" i="3"/>
  <c r="G11" i="3"/>
  <c r="O11" i="3"/>
  <c r="P11" i="3" s="1"/>
  <c r="C21" i="3"/>
  <c r="G9" i="3"/>
  <c r="O9" i="3"/>
  <c r="P9" i="3" s="1"/>
  <c r="C20" i="3"/>
  <c r="G8" i="3"/>
  <c r="O8" i="3"/>
  <c r="P8" i="3" s="1"/>
  <c r="C19" i="3"/>
  <c r="G7" i="3"/>
  <c r="O7" i="3"/>
  <c r="P7" i="3" s="1"/>
  <c r="C18" i="3"/>
  <c r="G6" i="3"/>
  <c r="O6" i="3"/>
  <c r="P6" i="3" s="1"/>
  <c r="C17" i="3"/>
  <c r="G5" i="3"/>
  <c r="O5" i="3"/>
  <c r="P5" i="3" s="1"/>
  <c r="E22" i="3" l="1"/>
  <c r="D22" i="3"/>
  <c r="J10" i="3"/>
  <c r="C13" i="1"/>
  <c r="E23" i="3"/>
  <c r="D23" i="3"/>
  <c r="C14" i="1"/>
  <c r="J11" i="3"/>
  <c r="C19" i="1"/>
  <c r="E21" i="3"/>
  <c r="D21" i="3"/>
  <c r="D19" i="1" s="1"/>
  <c r="J9" i="3"/>
  <c r="C12" i="1"/>
  <c r="D20" i="3"/>
  <c r="E20" i="3"/>
  <c r="J8" i="3"/>
  <c r="C11" i="1"/>
  <c r="E19" i="3"/>
  <c r="D19" i="3"/>
  <c r="J7" i="3"/>
  <c r="C8" i="1"/>
  <c r="D18" i="3"/>
  <c r="E18" i="3"/>
  <c r="J6" i="3"/>
  <c r="C7" i="1"/>
  <c r="C18" i="1"/>
  <c r="E17" i="3"/>
  <c r="D17" i="3"/>
  <c r="D18" i="1" s="1"/>
  <c r="J5" i="3"/>
  <c r="C6" i="1"/>
  <c r="K10" i="3" l="1"/>
  <c r="L10" i="3" s="1"/>
  <c r="K11" i="3"/>
  <c r="L11" i="3" s="1"/>
  <c r="K9" i="3"/>
  <c r="L9" i="3" s="1"/>
  <c r="K8" i="3"/>
  <c r="L8" i="3" s="1"/>
  <c r="K7" i="3"/>
  <c r="L7" i="3"/>
  <c r="K6" i="3"/>
  <c r="L6" i="3"/>
  <c r="K5" i="3"/>
  <c r="L5" i="3"/>
  <c r="F22" i="3" l="1"/>
  <c r="N10" i="3"/>
  <c r="E13" i="1"/>
  <c r="G22" i="3"/>
  <c r="F13" i="1"/>
  <c r="G23" i="3"/>
  <c r="F14" i="1"/>
  <c r="F23" i="3"/>
  <c r="E14" i="1"/>
  <c r="N11" i="3"/>
  <c r="F21" i="3"/>
  <c r="E19" i="1" s="1"/>
  <c r="N9" i="3"/>
  <c r="E12" i="1"/>
  <c r="G21" i="3"/>
  <c r="F19" i="1" s="1"/>
  <c r="F12" i="1"/>
  <c r="G20" i="3"/>
  <c r="F11" i="1"/>
  <c r="F20" i="3"/>
  <c r="E11" i="1"/>
  <c r="N8" i="3"/>
  <c r="F19" i="3"/>
  <c r="N7" i="3"/>
  <c r="E8" i="1"/>
  <c r="G19" i="3"/>
  <c r="F8" i="1"/>
  <c r="F18" i="3"/>
  <c r="N6" i="3"/>
  <c r="E7" i="1"/>
  <c r="G18" i="3"/>
  <c r="F7" i="1"/>
  <c r="F17" i="3"/>
  <c r="E18" i="1" s="1"/>
  <c r="N5" i="3"/>
  <c r="E6" i="1"/>
  <c r="G17" i="3"/>
  <c r="F18" i="1" s="1"/>
  <c r="F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Cotizador</author>
  </authors>
  <commentList>
    <comment ref="D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Precios acordados en septiembre de 2026.</t>
        </r>
      </text>
    </comment>
  </commentList>
</comments>
</file>

<file path=xl/sharedStrings.xml><?xml version="1.0" encoding="utf-8"?>
<sst xmlns="http://schemas.openxmlformats.org/spreadsheetml/2006/main" count="123" uniqueCount="104">
  <si>
    <t>Tabla de precios de impresión</t>
  </si>
  <si>
    <t>Impresora Ricoh MP C3003 · precio por hoja · tamaño carta y oficio · septiembre de 2026</t>
  </si>
  <si>
    <t>Rango</t>
  </si>
  <si>
    <t>¿Qué tipo de hoja es?</t>
  </si>
  <si>
    <t>Nos cuesta
(aprox.)</t>
  </si>
  <si>
    <t>Se cobra</t>
  </si>
  <si>
    <t>Para
mantenimiento</t>
  </si>
  <si>
    <t>Ganancia</t>
  </si>
  <si>
    <t>BLANCO Y NEGRO</t>
  </si>
  <si>
    <t>B/N normal</t>
  </si>
  <si>
    <t>Texto, tareas, cartas, formularios</t>
  </si>
  <si>
    <t>B/N cargado</t>
  </si>
  <si>
    <t>Tablas oscuras, gráficas o fotos en gris</t>
  </si>
  <si>
    <t>B/N total</t>
  </si>
  <si>
    <t>Foto en gris a página completa, fondos negros</t>
  </si>
  <si>
    <t>COLOR</t>
  </si>
  <si>
    <t>Color mínimo</t>
  </si>
  <si>
    <t>Documento con título, logo o firma a color</t>
  </si>
  <si>
    <t>Color medio</t>
  </si>
  <si>
    <t>Una foto o imagen de media página</t>
  </si>
  <si>
    <t>Color alto</t>
  </si>
  <si>
    <t>Dos fotos o una imagen grande</t>
  </si>
  <si>
    <t>Color total</t>
  </si>
  <si>
    <t>Foto o afiche a página completa</t>
  </si>
  <si>
    <t>¿Cuánto deja un tóner?</t>
  </si>
  <si>
    <t>Ejemplo</t>
  </si>
  <si>
    <t>Hojas</t>
  </si>
  <si>
    <t>Se vende</t>
  </si>
  <si>
    <t>Un tóner negro gastado en hojas de texto (B/N normal)</t>
  </si>
  <si>
    <t>Un tóner de color gastado en hojas con una foto (Color medio)</t>
  </si>
  <si>
    <t>Notas</t>
  </si>
  <si>
    <t>1. El programa revisa cada hoja y la pone sola en su rango según la tinta que usa. Si el trabajo tiene varias hojas, muestra cuántas hay de cada rango y el total.</t>
  </si>
  <si>
    <t>2. "Nos cuesta" incluye la tinta (con 15 % extra por seguridad) y el papel de una hoja típica del rango. No incluye arriendo, luz ni el tiempo de trabajo.</t>
  </si>
  <si>
    <t>3. Blanco y negro se cobra $700 en los tres rangos. Los rangos se muestran para que se vea que una hoja de texto cuesta muy poco y que incluso una hoja casi toda negra sigue dejando buena ganancia.</t>
  </si>
  <si>
    <t>4. Color va de $1.000 a $4.000 según cuánta hoja ocupe el color. Una hoja de texto con un título o logo a color ya cuenta como color (rango mínimo).</t>
  </si>
  <si>
    <t>5. Lo que sobra después de pagar tinta y papel se reparte mitad para mantenimiento (tambores, fusor, técnico, imprevistos) y mitad ganancia. Se sugiere guardar la parte de mantenimiento aparte.</t>
  </si>
  <si>
    <t>6. Oficio se cobra igual que carta. Una hoja oficio gasta cerca de 18 % más tinta y el papel cuesta $38 en vez de $30; como se vende poco y el margen es amplio, no vale la pena cobrarla distinto.</t>
  </si>
  <si>
    <t>7. Aun la hoja más cargada de cada rango queda cubierta por su precio (ver hoja Desglose, columna "Costo máximo").</t>
  </si>
  <si>
    <t>8. Precios de tóner y papel de septiembre de 2026. Si cambian, se actualizan en la hoja Supuestos y toda la tabla se recalcula sola.</t>
  </si>
  <si>
    <t>Supuestos del cálculo</t>
  </si>
  <si>
    <t>Celdas en azul con fondo amarillo = datos que se pueden cambiar. Todo lo demás se recalcula solo.</t>
  </si>
  <si>
    <t>Tóner</t>
  </si>
  <si>
    <t>Precio de un tóner de color (C, M o Y)</t>
  </si>
  <si>
    <t>Dato de Felipe, sep. 2026</t>
  </si>
  <si>
    <t>Rendimiento tóner de color (hojas al 5 %)</t>
  </si>
  <si>
    <t>Estimado de Felipe</t>
  </si>
  <si>
    <t>Precio del tóner negro (K)</t>
  </si>
  <si>
    <t>Rendimiento tóner negro (hojas al 5 %)</t>
  </si>
  <si>
    <t>Cobertura con que se mide el rendimiento</t>
  </si>
  <si>
    <t>Norma de los fabricantes</t>
  </si>
  <si>
    <t>Factor de corrección (seguridad en tinta)</t>
  </si>
  <si>
    <t>1,15 = se asume 15 % más tinta de la calculada</t>
  </si>
  <si>
    <t>Papel</t>
  </si>
  <si>
    <t>Resma carta</t>
  </si>
  <si>
    <t>Dato de Felipe</t>
  </si>
  <si>
    <t>Resma oficio</t>
  </si>
  <si>
    <t>Hojas por resma</t>
  </si>
  <si>
    <t>Alto hoja carta (mm)</t>
  </si>
  <si>
    <t>Mismo ancho que oficio (215,9 mm)</t>
  </si>
  <si>
    <t>Alto hoja oficio (mm)</t>
  </si>
  <si>
    <t>Oficio 21,6 × 33 cm</t>
  </si>
  <si>
    <t>Reparto de lo que sobra</t>
  </si>
  <si>
    <t>Parte para capital (mantenimiento e imprevistos)</t>
  </si>
  <si>
    <t>Propuesta de Felipe: mitad y mitad</t>
  </si>
  <si>
    <t>Desgaste estimado por hoja a color</t>
  </si>
  <si>
    <t>Estimado: tambores, revelador, fusor</t>
  </si>
  <si>
    <t>Desgaste estimado por hoja b/n</t>
  </si>
  <si>
    <t>Estimado</t>
  </si>
  <si>
    <t>Valores calculados</t>
  </si>
  <si>
    <t>Costo de tinta de color por hoja carta al 100 %</t>
  </si>
  <si>
    <t>precio ÷ rendimiento ÷ 5 %</t>
  </si>
  <si>
    <t>Costo de tinta negra por hoja carta al 100 %</t>
  </si>
  <si>
    <t>Papel por hoja carta</t>
  </si>
  <si>
    <t>Papel por hoja oficio</t>
  </si>
  <si>
    <t>Área oficio ÷ área carta</t>
  </si>
  <si>
    <t>la tinta crece con el área</t>
  </si>
  <si>
    <t>Desglose de costos por rango (hoja carta)</t>
  </si>
  <si>
    <t>Azul = dato editable. Negro = fórmula. Verde = viene de la hoja Supuestos. Cobertura típica medida con páginas de referencia; límite = máximo del rango en el programa.</t>
  </si>
  <si>
    <t>Cobertura típica color (C+M+Y)</t>
  </si>
  <si>
    <t>Cobertura típica negro (K)</t>
  </si>
  <si>
    <t>Límite de cobertura del rango</t>
  </si>
  <si>
    <t>Tinta por hoja (típica)</t>
  </si>
  <si>
    <t>Papel por hoja</t>
  </si>
  <si>
    <t>Costo aproximado (tinta + papel)</t>
  </si>
  <si>
    <t>Costo máximo del rango</t>
  </si>
  <si>
    <t>Precio de venta</t>
  </si>
  <si>
    <t>Sobrante (venta − costo)</t>
  </si>
  <si>
    <t>Para capital</t>
  </si>
  <si>
    <t>Desgaste estimado</t>
  </si>
  <si>
    <t>¿El capital cubre el desgaste?</t>
  </si>
  <si>
    <t>Costo aproximado en oficio</t>
  </si>
  <si>
    <t>Ganancia en oficio</t>
  </si>
  <si>
    <t>¿Cuánto deja cada tóner?</t>
  </si>
  <si>
    <t>Si todo el tóner se gastara en hojas de un solo rango: cuántas hojas alcanza a pagar la tinta de un tóner, y cuánto entra por ellas. Incluye el factor de corrección.</t>
  </si>
  <si>
    <t>Precio de un tóner</t>
  </si>
  <si>
    <t>Hojas que paga ese tóner</t>
  </si>
  <si>
    <t>Ventas</t>
  </si>
  <si>
    <t>Gasto en papel</t>
  </si>
  <si>
    <t>Cómo leer esta tabla:</t>
  </si>
  <si>
    <t>• Tinta por hoja = (precio del tóner ÷ rendimiento) × (cobertura ÷ 5 %) × factor de corrección.</t>
  </si>
  <si>
    <t>• Sobrante = precio de venta − tinta − papel. Se reparte entre capital y ganancia según el % de la hoja Supuestos.</t>
  </si>
  <si>
    <t>• El desgaste (tambores, fusor) NO se resta aparte: se paga del capital. La columna N verifica que alcance.</t>
  </si>
  <si>
    <t>• Tóner: una hoja a color también gasta algo de negro; aquí se cuenta toda la tinta de la hoja contra un tóner.</t>
  </si>
  <si>
    <t>• No incluye arriendo, energía ni el tiempo de trabajo.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</si>
</sst>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0.0%"/>
    <numFmt numFmtId="166" formatCode="0.0"/>
  </numFmts>
  <fonts count="18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i/>
      <sz val="10"/>
      <color rgb="FF000000"/>
      <name val="Arial"/>
    </font>
    <font>
      <b/>
      <sz val="11"/>
      <color rgb="FF000000"/>
      <name val="Arial"/>
    </font>
    <font>
      <sz val="10"/>
      <color rgb="FF000000"/>
      <name val="Arial"/>
    </font>
    <font>
      <sz val="10"/>
      <color rgb="FF0000FF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8000"/>
      <name val="Arial"/>
    </font>
    <font>
      <b/>
      <sz val="10"/>
      <color rgb="FF0000FF"/>
      <name val="Arial"/>
    </font>
    <font>
      <b/>
      <sz val="12"/>
      <color rgb="FF000000"/>
      <name val="Arial"/>
    </font>
    <font>
      <b/>
      <sz val="18"/>
      <color rgb="FF1F4E78"/>
      <name val="Arial"/>
    </font>
    <font>
      <sz val="11"/>
      <color rgb="FF595959"/>
      <name val="Arial"/>
    </font>
    <font>
      <b/>
      <sz val="11"/>
      <color rgb="FF1F4E78"/>
      <name val="Arial"/>
    </font>
    <font>
      <sz val="11"/>
      <color rgb="FF000000"/>
      <name val="Arial"/>
    </font>
    <font>
      <b/>
      <sz val="11"/>
      <color rgb="FF006100"/>
      <name val="Arial"/>
    </font>
    <font>
      <b/>
      <sz val="12"/>
      <color rgb="FF1F4E78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BFBFBF"/>
      </patternFill>
    </fill>
    <fill>
      <patternFill patternType="solid">
        <fgColor rgb="FFFFF4D6"/>
      </patternFill>
    </fill>
    <fill>
      <patternFill patternType="solid">
        <fgColor rgb="FFFFE0B2"/>
      </patternFill>
    </fill>
    <fill>
      <patternFill patternType="solid">
        <fgColor rgb="FFFFCC99"/>
      </patternFill>
    </fill>
    <fill>
      <patternFill patternType="solid">
        <fgColor rgb="FFF8B195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2" fillId="0" borderId="0" xfId="0" applyFont="1"/>
    <xf numFmtId="0" fontId="13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14" fillId="0" borderId="0" xfId="0" applyFont="1"/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164" fontId="15" fillId="4" borderId="1" xfId="0" applyNumberFormat="1" applyFont="1" applyFill="1" applyBorder="1" applyAlignment="1">
      <alignment horizontal="center" vertical="center" wrapText="1"/>
    </xf>
    <xf numFmtId="164" fontId="11" fillId="4" borderId="1" xfId="0" applyNumberFormat="1" applyFont="1" applyFill="1" applyBorder="1" applyAlignment="1">
      <alignment horizontal="center" vertical="center" wrapText="1"/>
    </xf>
    <xf numFmtId="164" fontId="16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164" fontId="15" fillId="5" borderId="1" xfId="0" applyNumberFormat="1" applyFont="1" applyFill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 wrapText="1"/>
    </xf>
    <xf numFmtId="164" fontId="16" fillId="5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164" fontId="15" fillId="6" borderId="1" xfId="0" applyNumberFormat="1" applyFont="1" applyFill="1" applyBorder="1" applyAlignment="1">
      <alignment horizontal="center" vertical="center" wrapText="1"/>
    </xf>
    <xf numFmtId="164" fontId="11" fillId="6" borderId="1" xfId="0" applyNumberFormat="1" applyFont="1" applyFill="1" applyBorder="1" applyAlignment="1">
      <alignment horizontal="center" vertical="center" wrapText="1"/>
    </xf>
    <xf numFmtId="164" fontId="16" fillId="6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164" fontId="15" fillId="7" borderId="1" xfId="0" applyNumberFormat="1" applyFont="1" applyFill="1" applyBorder="1" applyAlignment="1">
      <alignment horizontal="center" vertical="center" wrapText="1"/>
    </xf>
    <xf numFmtId="164" fontId="11" fillId="7" borderId="1" xfId="0" applyNumberFormat="1" applyFont="1" applyFill="1" applyBorder="1" applyAlignment="1">
      <alignment horizontal="center" vertical="center" wrapText="1"/>
    </xf>
    <xf numFmtId="164" fontId="16" fillId="7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164" fontId="15" fillId="8" borderId="1" xfId="0" applyNumberFormat="1" applyFont="1" applyFill="1" applyBorder="1" applyAlignment="1">
      <alignment horizontal="center" vertical="center" wrapText="1"/>
    </xf>
    <xf numFmtId="164" fontId="11" fillId="8" borderId="1" xfId="0" applyNumberFormat="1" applyFont="1" applyFill="1" applyBorder="1" applyAlignment="1">
      <alignment horizontal="center" vertical="center" wrapText="1"/>
    </xf>
    <xf numFmtId="164" fontId="16" fillId="8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164" fontId="15" fillId="9" borderId="1" xfId="0" applyNumberFormat="1" applyFont="1" applyFill="1" applyBorder="1" applyAlignment="1">
      <alignment horizontal="center" vertical="center" wrapText="1"/>
    </xf>
    <xf numFmtId="164" fontId="11" fillId="9" borderId="1" xfId="0" applyNumberFormat="1" applyFont="1" applyFill="1" applyBorder="1" applyAlignment="1">
      <alignment horizontal="center" vertical="center" wrapText="1"/>
    </xf>
    <xf numFmtId="164" fontId="16" fillId="9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164" fontId="15" fillId="10" borderId="1" xfId="0" applyNumberFormat="1" applyFont="1" applyFill="1" applyBorder="1" applyAlignment="1">
      <alignment horizontal="center" vertical="center" wrapText="1"/>
    </xf>
    <xf numFmtId="164" fontId="11" fillId="10" borderId="1" xfId="0" applyNumberFormat="1" applyFont="1" applyFill="1" applyBorder="1" applyAlignment="1">
      <alignment horizontal="center" vertical="center" wrapText="1"/>
    </xf>
    <xf numFmtId="164" fontId="16" fillId="10" borderId="1" xfId="0" applyNumberFormat="1" applyFont="1" applyFill="1" applyBorder="1" applyAlignment="1">
      <alignment horizontal="center" vertical="center" wrapText="1"/>
    </xf>
    <xf numFmtId="0" fontId="17" fillId="0" borderId="0" xfId="0" applyFont="1"/>
    <xf numFmtId="3" fontId="15" fillId="0" borderId="1" xfId="0" applyNumberFormat="1" applyFont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5" fillId="2" borderId="1" xfId="0" applyNumberFormat="1" applyFont="1" applyFill="1" applyBorder="1"/>
    <xf numFmtId="0" fontId="6" fillId="0" borderId="0" xfId="0" applyFont="1"/>
    <xf numFmtId="3" fontId="5" fillId="2" borderId="1" xfId="0" applyNumberFormat="1" applyFont="1" applyFill="1" applyBorder="1"/>
    <xf numFmtId="165" fontId="5" fillId="2" borderId="1" xfId="0" applyNumberFormat="1" applyFont="1" applyFill="1" applyBorder="1"/>
    <xf numFmtId="2" fontId="5" fillId="2" borderId="1" xfId="0" applyNumberFormat="1" applyFont="1" applyFill="1" applyBorder="1"/>
    <xf numFmtId="166" fontId="5" fillId="2" borderId="1" xfId="0" applyNumberFormat="1" applyFont="1" applyFill="1" applyBorder="1"/>
    <xf numFmtId="164" fontId="4" fillId="0" borderId="1" xfId="0" applyNumberFormat="1" applyFont="1" applyBorder="1"/>
    <xf numFmtId="2" fontId="4" fillId="0" borderId="1" xfId="0" applyNumberFormat="1" applyFont="1" applyBorder="1"/>
    <xf numFmtId="0" fontId="8" fillId="4" borderId="1" xfId="0" applyFont="1" applyFill="1" applyBorder="1" applyAlignment="1">
      <alignment horizontal="left"/>
    </xf>
    <xf numFmtId="165" fontId="5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5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8" fillId="7" borderId="1" xfId="0" applyFont="1" applyFill="1" applyBorder="1" applyAlignment="1">
      <alignment horizontal="left"/>
    </xf>
    <xf numFmtId="0" fontId="8" fillId="8" borderId="1" xfId="0" applyFont="1" applyFill="1" applyBorder="1" applyAlignment="1">
      <alignment horizontal="left"/>
    </xf>
    <xf numFmtId="0" fontId="8" fillId="9" borderId="1" xfId="0" applyFont="1" applyFill="1" applyBorder="1" applyAlignment="1">
      <alignment horizontal="left"/>
    </xf>
    <xf numFmtId="0" fontId="8" fillId="10" borderId="1" xfId="0" applyFont="1" applyFill="1" applyBorder="1" applyAlignment="1">
      <alignment horizontal="left"/>
    </xf>
    <xf numFmtId="0" fontId="11" fillId="0" borderId="0" xfId="0" applyFont="1"/>
    <xf numFmtId="3" fontId="4" fillId="0" borderId="1" xfId="0" applyNumberFormat="1" applyFont="1" applyBorder="1" applyAlignment="1">
      <alignment horizontal="center"/>
    </xf>
    <xf numFmtId="0" fontId="8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9"/>
  <sheetViews>
    <sheetView showGridLines="0" tabSelected="1" topLeftCell="A14" workbookViewId="0">
      <selection activeCell="J20" sqref="J20"/>
    </sheetView>
  </sheetViews>
  <sheetFormatPr baseColWidth="10" defaultColWidth="9.140625" defaultRowHeight="15" x14ac:dyDescent="0.25"/>
  <cols>
    <col min="1" max="1" width="17" customWidth="1"/>
    <col min="2" max="2" width="42" customWidth="1"/>
    <col min="3" max="4" width="13" customWidth="1"/>
    <col min="5" max="5" width="15" customWidth="1"/>
    <col min="6" max="6" width="13" customWidth="1"/>
  </cols>
  <sheetData>
    <row r="1" spans="1:6" ht="23.25" x14ac:dyDescent="0.35">
      <c r="A1" s="1" t="s">
        <v>0</v>
      </c>
    </row>
    <row r="2" spans="1:6" x14ac:dyDescent="0.25">
      <c r="A2" s="2" t="s">
        <v>1</v>
      </c>
    </row>
    <row r="4" spans="1:6" ht="33.950000000000003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</row>
    <row r="6" spans="1:6" ht="21.95" customHeight="1" x14ac:dyDescent="0.25">
      <c r="A6" s="5" t="s">
        <v>9</v>
      </c>
      <c r="B6" s="6" t="s">
        <v>10</v>
      </c>
      <c r="C6" s="7">
        <f>Desglose!G5</f>
        <v>40.35</v>
      </c>
      <c r="D6" s="8">
        <f>Desglose!I5</f>
        <v>700</v>
      </c>
      <c r="E6" s="7">
        <f>Desglose!K5</f>
        <v>329.82499999999999</v>
      </c>
      <c r="F6" s="9">
        <f>Desglose!L5</f>
        <v>329.82499999999999</v>
      </c>
    </row>
    <row r="7" spans="1:6" ht="21.95" customHeight="1" x14ac:dyDescent="0.25">
      <c r="A7" s="10" t="s">
        <v>11</v>
      </c>
      <c r="B7" s="11" t="s">
        <v>12</v>
      </c>
      <c r="C7" s="12">
        <f>Desglose!G6</f>
        <v>68.442857142857136</v>
      </c>
      <c r="D7" s="13">
        <f>Desglose!I6</f>
        <v>700</v>
      </c>
      <c r="E7" s="12">
        <f>Desglose!K6</f>
        <v>315.77857142857141</v>
      </c>
      <c r="F7" s="14">
        <f>Desglose!L6</f>
        <v>315.77857142857141</v>
      </c>
    </row>
    <row r="8" spans="1:6" ht="21.95" customHeight="1" x14ac:dyDescent="0.25">
      <c r="A8" s="15" t="s">
        <v>13</v>
      </c>
      <c r="B8" s="16" t="s">
        <v>14</v>
      </c>
      <c r="C8" s="17">
        <f>Desglose!G7</f>
        <v>133.49999999999997</v>
      </c>
      <c r="D8" s="18">
        <f>Desglose!I7</f>
        <v>700</v>
      </c>
      <c r="E8" s="17">
        <f>Desglose!K7</f>
        <v>283.25</v>
      </c>
      <c r="F8" s="19">
        <f>Desglose!L7</f>
        <v>283.25</v>
      </c>
    </row>
    <row r="10" spans="1:6" x14ac:dyDescent="0.25">
      <c r="A10" s="4" t="s">
        <v>15</v>
      </c>
    </row>
    <row r="11" spans="1:6" ht="21.95" customHeight="1" x14ac:dyDescent="0.25">
      <c r="A11" s="20" t="s">
        <v>16</v>
      </c>
      <c r="B11" s="21" t="s">
        <v>17</v>
      </c>
      <c r="C11" s="22">
        <f>Desglose!G8</f>
        <v>56.660672268907561</v>
      </c>
      <c r="D11" s="23">
        <f>Desglose!I8</f>
        <v>1000</v>
      </c>
      <c r="E11" s="22">
        <f>Desglose!K8</f>
        <v>471.66966386554623</v>
      </c>
      <c r="F11" s="24">
        <f>Desglose!L8</f>
        <v>471.66966386554623</v>
      </c>
    </row>
    <row r="12" spans="1:6" ht="21.95" customHeight="1" x14ac:dyDescent="0.25">
      <c r="A12" s="25" t="s">
        <v>18</v>
      </c>
      <c r="B12" s="26" t="s">
        <v>19</v>
      </c>
      <c r="C12" s="27">
        <f>Desglose!G9</f>
        <v>162.77668067226892</v>
      </c>
      <c r="D12" s="28">
        <f>Desglose!I9</f>
        <v>2000</v>
      </c>
      <c r="E12" s="27">
        <f>Desglose!K9</f>
        <v>918.61165966386557</v>
      </c>
      <c r="F12" s="29">
        <f>Desglose!L9</f>
        <v>918.61165966386557</v>
      </c>
    </row>
    <row r="13" spans="1:6" ht="21.95" customHeight="1" x14ac:dyDescent="0.25">
      <c r="A13" s="30" t="s">
        <v>20</v>
      </c>
      <c r="B13" s="31" t="s">
        <v>21</v>
      </c>
      <c r="C13" s="32">
        <f>Desglose!G10</f>
        <v>295.82394957983189</v>
      </c>
      <c r="D13" s="33">
        <f>Desglose!I10</f>
        <v>3000</v>
      </c>
      <c r="E13" s="32">
        <f>Desglose!K10</f>
        <v>1352.088025210084</v>
      </c>
      <c r="F13" s="34">
        <f>Desglose!L10</f>
        <v>1352.088025210084</v>
      </c>
    </row>
    <row r="14" spans="1:6" ht="21.95" customHeight="1" x14ac:dyDescent="0.25">
      <c r="A14" s="35" t="s">
        <v>22</v>
      </c>
      <c r="B14" s="36" t="s">
        <v>23</v>
      </c>
      <c r="C14" s="37">
        <f>Desglose!G11</f>
        <v>408.84189075630252</v>
      </c>
      <c r="D14" s="38">
        <f>Desglose!I11</f>
        <v>4000</v>
      </c>
      <c r="E14" s="37">
        <f>Desglose!K11</f>
        <v>1795.5790546218486</v>
      </c>
      <c r="F14" s="39">
        <f>Desglose!L11</f>
        <v>1795.5790546218486</v>
      </c>
    </row>
    <row r="16" spans="1:6" ht="15.75" x14ac:dyDescent="0.25">
      <c r="A16" s="40" t="s">
        <v>24</v>
      </c>
    </row>
    <row r="17" spans="1:6" ht="30" customHeight="1" x14ac:dyDescent="0.25">
      <c r="A17" s="72" t="s">
        <v>25</v>
      </c>
      <c r="B17" s="73"/>
      <c r="C17" s="3" t="s">
        <v>26</v>
      </c>
      <c r="D17" s="3" t="s">
        <v>27</v>
      </c>
      <c r="E17" s="3" t="s">
        <v>6</v>
      </c>
      <c r="F17" s="3" t="s">
        <v>7</v>
      </c>
    </row>
    <row r="18" spans="1:6" ht="30" customHeight="1" x14ac:dyDescent="0.25">
      <c r="A18" s="74" t="s">
        <v>28</v>
      </c>
      <c r="B18" s="75"/>
      <c r="C18" s="41">
        <f>Desglose!C17</f>
        <v>17391.304347826088</v>
      </c>
      <c r="D18" s="42">
        <f>Desglose!D17</f>
        <v>12173913.043478262</v>
      </c>
      <c r="E18" s="42">
        <f>Desglose!F17</f>
        <v>5736086.9565217393</v>
      </c>
      <c r="F18" s="43">
        <f>Desglose!G17</f>
        <v>5736086.9565217393</v>
      </c>
    </row>
    <row r="19" spans="1:6" ht="30" customHeight="1" x14ac:dyDescent="0.25">
      <c r="A19" s="74" t="s">
        <v>29</v>
      </c>
      <c r="B19" s="75"/>
      <c r="C19" s="41">
        <f>Desglose!C21</f>
        <v>1506.2885966674946</v>
      </c>
      <c r="D19" s="42">
        <f>Desglose!D21</f>
        <v>3012577.1933349892</v>
      </c>
      <c r="E19" s="42">
        <f>Desglose!F21</f>
        <v>1383694.2677174823</v>
      </c>
      <c r="F19" s="43">
        <f>Desglose!G21</f>
        <v>1383694.2677174823</v>
      </c>
    </row>
    <row r="21" spans="1:6" ht="15.75" x14ac:dyDescent="0.25">
      <c r="A21" s="40" t="s">
        <v>30</v>
      </c>
    </row>
    <row r="22" spans="1:6" ht="30" customHeight="1" x14ac:dyDescent="0.25">
      <c r="A22" s="76" t="s">
        <v>31</v>
      </c>
      <c r="B22" s="77"/>
      <c r="C22" s="77"/>
      <c r="D22" s="77"/>
      <c r="E22" s="77"/>
      <c r="F22" s="77"/>
    </row>
    <row r="23" spans="1:6" ht="30" customHeight="1" x14ac:dyDescent="0.25">
      <c r="A23" s="76" t="s">
        <v>32</v>
      </c>
      <c r="B23" s="77"/>
      <c r="C23" s="77"/>
      <c r="D23" s="77"/>
      <c r="E23" s="77"/>
      <c r="F23" s="77"/>
    </row>
    <row r="24" spans="1:6" ht="30" customHeight="1" x14ac:dyDescent="0.25">
      <c r="A24" s="76" t="s">
        <v>33</v>
      </c>
      <c r="B24" s="77"/>
      <c r="C24" s="77"/>
      <c r="D24" s="77"/>
      <c r="E24" s="77"/>
      <c r="F24" s="77"/>
    </row>
    <row r="25" spans="1:6" ht="30" customHeight="1" x14ac:dyDescent="0.25">
      <c r="A25" s="76" t="s">
        <v>34</v>
      </c>
      <c r="B25" s="77"/>
      <c r="C25" s="77"/>
      <c r="D25" s="77"/>
      <c r="E25" s="77"/>
      <c r="F25" s="77"/>
    </row>
    <row r="26" spans="1:6" ht="30" customHeight="1" x14ac:dyDescent="0.25">
      <c r="A26" s="76" t="s">
        <v>35</v>
      </c>
      <c r="B26" s="77"/>
      <c r="C26" s="77"/>
      <c r="D26" s="77"/>
      <c r="E26" s="77"/>
      <c r="F26" s="77"/>
    </row>
    <row r="27" spans="1:6" ht="30" customHeight="1" x14ac:dyDescent="0.25">
      <c r="A27" s="76" t="s">
        <v>36</v>
      </c>
      <c r="B27" s="77"/>
      <c r="C27" s="77"/>
      <c r="D27" s="77"/>
      <c r="E27" s="77"/>
      <c r="F27" s="77"/>
    </row>
    <row r="28" spans="1:6" ht="30" customHeight="1" x14ac:dyDescent="0.25">
      <c r="A28" s="76" t="s">
        <v>37</v>
      </c>
      <c r="B28" s="77"/>
      <c r="C28" s="77"/>
      <c r="D28" s="77"/>
      <c r="E28" s="77"/>
      <c r="F28" s="77"/>
    </row>
    <row r="29" spans="1:6" ht="30" customHeight="1" x14ac:dyDescent="0.25">
      <c r="A29" s="76" t="s">
        <v>38</v>
      </c>
      <c r="B29" s="77"/>
      <c r="C29" s="77"/>
      <c r="D29" s="77"/>
      <c r="E29" s="77"/>
      <c r="F29" s="77"/>
    </row>
  </sheetData>
  <mergeCells count="11">
    <mergeCell ref="A17:B17"/>
    <mergeCell ref="A18:B18"/>
    <mergeCell ref="A29:F29"/>
    <mergeCell ref="A25:F25"/>
    <mergeCell ref="A24:F24"/>
    <mergeCell ref="A28:F28"/>
    <mergeCell ref="A19:B19"/>
    <mergeCell ref="A23:F23"/>
    <mergeCell ref="A27:F27"/>
    <mergeCell ref="A26:F26"/>
    <mergeCell ref="A22:F22"/>
  </mergeCells>
  <printOptions horizontalCentered="1"/>
  <pageMargins left="0.75" right="0.75" top="1" bottom="1" header="0.5" footer="0.5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/>
  </sheetViews>
  <sheetFormatPr baseColWidth="10" defaultColWidth="9.140625" defaultRowHeight="15" x14ac:dyDescent="0.25"/>
  <cols>
    <col min="1" max="1" width="48" customWidth="1"/>
    <col min="2" max="2" width="14" customWidth="1"/>
    <col min="3" max="3" width="46" customWidth="1"/>
  </cols>
  <sheetData>
    <row r="1" spans="1:3" ht="18" x14ac:dyDescent="0.25">
      <c r="A1" s="44" t="s">
        <v>39</v>
      </c>
    </row>
    <row r="2" spans="1:3" x14ac:dyDescent="0.25">
      <c r="A2" s="45" t="s">
        <v>40</v>
      </c>
    </row>
    <row r="4" spans="1:3" x14ac:dyDescent="0.25">
      <c r="A4" s="46" t="s">
        <v>41</v>
      </c>
    </row>
    <row r="5" spans="1:3" x14ac:dyDescent="0.25">
      <c r="A5" s="47" t="s">
        <v>42</v>
      </c>
      <c r="B5" s="48">
        <v>200000</v>
      </c>
      <c r="C5" s="49" t="s">
        <v>43</v>
      </c>
    </row>
    <row r="6" spans="1:3" x14ac:dyDescent="0.25">
      <c r="A6" s="47" t="s">
        <v>44</v>
      </c>
      <c r="B6" s="50">
        <v>17000</v>
      </c>
      <c r="C6" s="49" t="s">
        <v>45</v>
      </c>
    </row>
    <row r="7" spans="1:3" x14ac:dyDescent="0.25">
      <c r="A7" s="47" t="s">
        <v>46</v>
      </c>
      <c r="B7" s="48">
        <v>180000</v>
      </c>
      <c r="C7" s="49" t="s">
        <v>43</v>
      </c>
    </row>
    <row r="8" spans="1:3" x14ac:dyDescent="0.25">
      <c r="A8" s="47" t="s">
        <v>47</v>
      </c>
      <c r="B8" s="50">
        <v>28000</v>
      </c>
      <c r="C8" s="49" t="s">
        <v>45</v>
      </c>
    </row>
    <row r="9" spans="1:3" x14ac:dyDescent="0.25">
      <c r="A9" s="47" t="s">
        <v>48</v>
      </c>
      <c r="B9" s="51">
        <v>0.05</v>
      </c>
      <c r="C9" s="49" t="s">
        <v>49</v>
      </c>
    </row>
    <row r="10" spans="1:3" x14ac:dyDescent="0.25">
      <c r="A10" s="47" t="s">
        <v>50</v>
      </c>
      <c r="B10" s="52">
        <v>1.1499999999999999</v>
      </c>
      <c r="C10" s="49" t="s">
        <v>51</v>
      </c>
    </row>
    <row r="11" spans="1:3" x14ac:dyDescent="0.25">
      <c r="A11" s="46" t="s">
        <v>52</v>
      </c>
    </row>
    <row r="12" spans="1:3" x14ac:dyDescent="0.25">
      <c r="A12" s="47" t="s">
        <v>53</v>
      </c>
      <c r="B12" s="48">
        <v>15000</v>
      </c>
      <c r="C12" s="49" t="s">
        <v>54</v>
      </c>
    </row>
    <row r="13" spans="1:3" x14ac:dyDescent="0.25">
      <c r="A13" s="47" t="s">
        <v>55</v>
      </c>
      <c r="B13" s="48">
        <v>19000</v>
      </c>
      <c r="C13" s="49" t="s">
        <v>54</v>
      </c>
    </row>
    <row r="14" spans="1:3" x14ac:dyDescent="0.25">
      <c r="A14" s="47" t="s">
        <v>56</v>
      </c>
      <c r="B14" s="50">
        <v>500</v>
      </c>
      <c r="C14" s="49" t="s">
        <v>54</v>
      </c>
    </row>
    <row r="15" spans="1:3" x14ac:dyDescent="0.25">
      <c r="A15" s="47" t="s">
        <v>57</v>
      </c>
      <c r="B15" s="53">
        <v>279.39999999999998</v>
      </c>
      <c r="C15" s="49" t="s">
        <v>58</v>
      </c>
    </row>
    <row r="16" spans="1:3" x14ac:dyDescent="0.25">
      <c r="A16" s="47" t="s">
        <v>59</v>
      </c>
      <c r="B16" s="53">
        <v>330.2</v>
      </c>
      <c r="C16" s="49" t="s">
        <v>60</v>
      </c>
    </row>
    <row r="17" spans="1:3" x14ac:dyDescent="0.25">
      <c r="A17" s="46" t="s">
        <v>61</v>
      </c>
    </row>
    <row r="18" spans="1:3" x14ac:dyDescent="0.25">
      <c r="A18" s="47" t="s">
        <v>62</v>
      </c>
      <c r="B18" s="51">
        <v>0.5</v>
      </c>
      <c r="C18" s="49" t="s">
        <v>63</v>
      </c>
    </row>
    <row r="19" spans="1:3" x14ac:dyDescent="0.25">
      <c r="A19" s="47" t="s">
        <v>64</v>
      </c>
      <c r="B19" s="48">
        <v>40</v>
      </c>
      <c r="C19" s="49" t="s">
        <v>65</v>
      </c>
    </row>
    <row r="20" spans="1:3" x14ac:dyDescent="0.25">
      <c r="A20" s="47" t="s">
        <v>66</v>
      </c>
      <c r="B20" s="48">
        <v>20</v>
      </c>
      <c r="C20" s="49" t="s">
        <v>67</v>
      </c>
    </row>
    <row r="22" spans="1:3" x14ac:dyDescent="0.25">
      <c r="A22" s="46" t="s">
        <v>68</v>
      </c>
    </row>
    <row r="23" spans="1:3" x14ac:dyDescent="0.25">
      <c r="A23" s="47" t="s">
        <v>69</v>
      </c>
      <c r="B23" s="54">
        <f>Supuestos!$B$5/Supuestos!$B$6/Supuestos!$B$9</f>
        <v>235.29411764705884</v>
      </c>
      <c r="C23" s="49" t="s">
        <v>70</v>
      </c>
    </row>
    <row r="24" spans="1:3" x14ac:dyDescent="0.25">
      <c r="A24" s="47" t="s">
        <v>71</v>
      </c>
      <c r="B24" s="54">
        <f>Supuestos!$B$7/Supuestos!$B$8/Supuestos!$B$9</f>
        <v>128.57142857142856</v>
      </c>
      <c r="C24" s="49" t="s">
        <v>70</v>
      </c>
    </row>
    <row r="25" spans="1:3" x14ac:dyDescent="0.25">
      <c r="A25" s="47" t="s">
        <v>72</v>
      </c>
      <c r="B25" s="54">
        <f>Supuestos!$B$12/Supuestos!$B$14</f>
        <v>30</v>
      </c>
      <c r="C25" s="49"/>
    </row>
    <row r="26" spans="1:3" x14ac:dyDescent="0.25">
      <c r="A26" s="47" t="s">
        <v>73</v>
      </c>
      <c r="B26" s="54">
        <f>Supuestos!$B$13/Supuestos!$B$14</f>
        <v>38</v>
      </c>
      <c r="C26" s="49"/>
    </row>
    <row r="27" spans="1:3" x14ac:dyDescent="0.25">
      <c r="A27" s="47" t="s">
        <v>74</v>
      </c>
      <c r="B27" s="55">
        <f>Supuestos!$B$16/Supuestos!$B$15</f>
        <v>1.1818181818181819</v>
      </c>
      <c r="C27" s="49" t="s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0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6" customWidth="1"/>
    <col min="2" max="4" width="14" customWidth="1"/>
    <col min="5" max="5" width="13" customWidth="1"/>
    <col min="6" max="6" width="11" customWidth="1"/>
    <col min="7" max="7" width="15" customWidth="1"/>
    <col min="8" max="8" width="14" customWidth="1"/>
    <col min="9" max="9" width="12" customWidth="1"/>
    <col min="10" max="10" width="14" customWidth="1"/>
    <col min="11" max="13" width="12" customWidth="1"/>
    <col min="14" max="15" width="14" customWidth="1"/>
    <col min="16" max="16" width="13" customWidth="1"/>
  </cols>
  <sheetData>
    <row r="1" spans="1:16" ht="18" x14ac:dyDescent="0.25">
      <c r="A1" s="44" t="s">
        <v>76</v>
      </c>
    </row>
    <row r="2" spans="1:16" x14ac:dyDescent="0.25">
      <c r="A2" s="45" t="s">
        <v>77</v>
      </c>
    </row>
    <row r="4" spans="1:16" ht="48" customHeight="1" x14ac:dyDescent="0.25">
      <c r="A4" s="3" t="s">
        <v>2</v>
      </c>
      <c r="B4" s="3" t="s">
        <v>78</v>
      </c>
      <c r="C4" s="3" t="s">
        <v>79</v>
      </c>
      <c r="D4" s="3" t="s">
        <v>80</v>
      </c>
      <c r="E4" s="3" t="s">
        <v>81</v>
      </c>
      <c r="F4" s="3" t="s">
        <v>82</v>
      </c>
      <c r="G4" s="3" t="s">
        <v>83</v>
      </c>
      <c r="H4" s="3" t="s">
        <v>84</v>
      </c>
      <c r="I4" s="3" t="s">
        <v>85</v>
      </c>
      <c r="J4" s="3" t="s">
        <v>86</v>
      </c>
      <c r="K4" s="3" t="s">
        <v>87</v>
      </c>
      <c r="L4" s="3" t="s">
        <v>7</v>
      </c>
      <c r="M4" s="3" t="s">
        <v>88</v>
      </c>
      <c r="N4" s="3" t="s">
        <v>89</v>
      </c>
      <c r="O4" s="3" t="s">
        <v>90</v>
      </c>
      <c r="P4" s="3" t="s">
        <v>91</v>
      </c>
    </row>
    <row r="5" spans="1:16" x14ac:dyDescent="0.25">
      <c r="A5" s="56" t="s">
        <v>9</v>
      </c>
      <c r="B5" s="57">
        <v>0</v>
      </c>
      <c r="C5" s="57">
        <v>7.0000000000000007E-2</v>
      </c>
      <c r="D5" s="57">
        <v>0.12</v>
      </c>
      <c r="E5" s="58">
        <f>(B5*Supuestos!$B$23+C5*Supuestos!$B$24)*Supuestos!$B$10</f>
        <v>10.35</v>
      </c>
      <c r="F5" s="59">
        <f>Supuestos!$B$25</f>
        <v>30</v>
      </c>
      <c r="G5" s="60">
        <f t="shared" ref="G5:G11" si="0">E5+F5</f>
        <v>40.35</v>
      </c>
      <c r="H5" s="58">
        <f>D5*Supuestos!$B$24*Supuestos!$B$10+F5</f>
        <v>47.742857142857133</v>
      </c>
      <c r="I5" s="61">
        <v>700</v>
      </c>
      <c r="J5" s="58">
        <f t="shared" ref="J5:J11" si="1">I5-G5</f>
        <v>659.65</v>
      </c>
      <c r="K5" s="58">
        <f>J5*Supuestos!$B$18</f>
        <v>329.82499999999999</v>
      </c>
      <c r="L5" s="60">
        <f t="shared" ref="L5:L11" si="2">J5-K5</f>
        <v>329.82499999999999</v>
      </c>
      <c r="M5" s="59">
        <f>Supuestos!$B$20</f>
        <v>20</v>
      </c>
      <c r="N5" s="62" t="str">
        <f t="shared" ref="N5:N11" si="3">IF(K5&gt;=M5,"Sí","No")</f>
        <v>Sí</v>
      </c>
      <c r="O5" s="58">
        <f>E5*Supuestos!$B$27+Supuestos!$B$26</f>
        <v>50.231818181818184</v>
      </c>
      <c r="P5" s="58">
        <f>(I5-O5)*(1-Supuestos!$B$18)</f>
        <v>324.8840909090909</v>
      </c>
    </row>
    <row r="6" spans="1:16" x14ac:dyDescent="0.25">
      <c r="A6" s="63" t="s">
        <v>11</v>
      </c>
      <c r="B6" s="57">
        <v>0</v>
      </c>
      <c r="C6" s="57">
        <v>0.26</v>
      </c>
      <c r="D6" s="57">
        <v>0.4</v>
      </c>
      <c r="E6" s="58">
        <f>(B6*Supuestos!$B$23+C6*Supuestos!$B$24)*Supuestos!$B$10</f>
        <v>38.442857142857136</v>
      </c>
      <c r="F6" s="59">
        <f>Supuestos!$B$25</f>
        <v>30</v>
      </c>
      <c r="G6" s="60">
        <f t="shared" si="0"/>
        <v>68.442857142857136</v>
      </c>
      <c r="H6" s="58">
        <f>D6*Supuestos!$B$24*Supuestos!$B$10+F6</f>
        <v>89.142857142857139</v>
      </c>
      <c r="I6" s="61">
        <v>700</v>
      </c>
      <c r="J6" s="58">
        <f t="shared" si="1"/>
        <v>631.55714285714282</v>
      </c>
      <c r="K6" s="58">
        <f>J6*Supuestos!$B$18</f>
        <v>315.77857142857141</v>
      </c>
      <c r="L6" s="60">
        <f t="shared" si="2"/>
        <v>315.77857142857141</v>
      </c>
      <c r="M6" s="59">
        <f>Supuestos!$B$20</f>
        <v>20</v>
      </c>
      <c r="N6" s="62" t="str">
        <f t="shared" si="3"/>
        <v>Sí</v>
      </c>
      <c r="O6" s="58">
        <f>E6*Supuestos!$B$27+Supuestos!$B$26</f>
        <v>83.432467532467527</v>
      </c>
      <c r="P6" s="58">
        <f>(I6-O6)*(1-Supuestos!$B$18)</f>
        <v>308.28376623376624</v>
      </c>
    </row>
    <row r="7" spans="1:16" x14ac:dyDescent="0.25">
      <c r="A7" s="64" t="s">
        <v>13</v>
      </c>
      <c r="B7" s="57">
        <v>0</v>
      </c>
      <c r="C7" s="57">
        <v>0.7</v>
      </c>
      <c r="D7" s="57">
        <v>1</v>
      </c>
      <c r="E7" s="58">
        <f>(B7*Supuestos!$B$23+C7*Supuestos!$B$24)*Supuestos!$B$10</f>
        <v>103.49999999999997</v>
      </c>
      <c r="F7" s="59">
        <f>Supuestos!$B$25</f>
        <v>30</v>
      </c>
      <c r="G7" s="60">
        <f t="shared" si="0"/>
        <v>133.49999999999997</v>
      </c>
      <c r="H7" s="58">
        <f>D7*Supuestos!$B$24*Supuestos!$B$10+F7</f>
        <v>177.85714285714283</v>
      </c>
      <c r="I7" s="61">
        <v>700</v>
      </c>
      <c r="J7" s="58">
        <f t="shared" si="1"/>
        <v>566.5</v>
      </c>
      <c r="K7" s="58">
        <f>J7*Supuestos!$B$18</f>
        <v>283.25</v>
      </c>
      <c r="L7" s="60">
        <f t="shared" si="2"/>
        <v>283.25</v>
      </c>
      <c r="M7" s="59">
        <f>Supuestos!$B$20</f>
        <v>20</v>
      </c>
      <c r="N7" s="62" t="str">
        <f t="shared" si="3"/>
        <v>Sí</v>
      </c>
      <c r="O7" s="58">
        <f>E7*Supuestos!$B$27+Supuestos!$B$26</f>
        <v>160.31818181818178</v>
      </c>
      <c r="P7" s="58">
        <f>(I7-O7)*(1-Supuestos!$B$18)</f>
        <v>269.84090909090912</v>
      </c>
    </row>
    <row r="8" spans="1:16" x14ac:dyDescent="0.25">
      <c r="A8" s="65" t="s">
        <v>16</v>
      </c>
      <c r="B8" s="57">
        <v>5.7000000000000002E-2</v>
      </c>
      <c r="C8" s="57">
        <v>7.5999999999999998E-2</v>
      </c>
      <c r="D8" s="57">
        <v>0.2</v>
      </c>
      <c r="E8" s="58">
        <f>(B8*Supuestos!$B$23+C8*Supuestos!$B$24)*Supuestos!$B$10</f>
        <v>26.660672268907565</v>
      </c>
      <c r="F8" s="59">
        <f>Supuestos!$B$25</f>
        <v>30</v>
      </c>
      <c r="G8" s="60">
        <f t="shared" si="0"/>
        <v>56.660672268907561</v>
      </c>
      <c r="H8" s="58">
        <f>D8*Supuestos!$B$23*Supuestos!$B$10+F8</f>
        <v>84.117647058823536</v>
      </c>
      <c r="I8" s="61">
        <v>1000</v>
      </c>
      <c r="J8" s="58">
        <f t="shared" si="1"/>
        <v>943.33932773109245</v>
      </c>
      <c r="K8" s="58">
        <f>J8*Supuestos!$B$18</f>
        <v>471.66966386554623</v>
      </c>
      <c r="L8" s="60">
        <f t="shared" si="2"/>
        <v>471.66966386554623</v>
      </c>
      <c r="M8" s="59">
        <f>Supuestos!$B$19</f>
        <v>40</v>
      </c>
      <c r="N8" s="62" t="str">
        <f t="shared" si="3"/>
        <v>Sí</v>
      </c>
      <c r="O8" s="58">
        <f>E8*Supuestos!$B$27+Supuestos!$B$26</f>
        <v>69.508067226890759</v>
      </c>
      <c r="P8" s="58">
        <f>(I8-O8)*(1-Supuestos!$B$18)</f>
        <v>465.24596638655464</v>
      </c>
    </row>
    <row r="9" spans="1:16" x14ac:dyDescent="0.25">
      <c r="A9" s="66" t="s">
        <v>18</v>
      </c>
      <c r="B9" s="57">
        <v>0.40600000000000003</v>
      </c>
      <c r="C9" s="57">
        <v>0.155</v>
      </c>
      <c r="D9" s="57">
        <v>0.8</v>
      </c>
      <c r="E9" s="58">
        <f>(B9*Supuestos!$B$23+C9*Supuestos!$B$24)*Supuestos!$B$10</f>
        <v>132.77668067226892</v>
      </c>
      <c r="F9" s="59">
        <f>Supuestos!$B$25</f>
        <v>30</v>
      </c>
      <c r="G9" s="60">
        <f t="shared" si="0"/>
        <v>162.77668067226892</v>
      </c>
      <c r="H9" s="58">
        <f>D9*Supuestos!$B$23*Supuestos!$B$10+F9</f>
        <v>246.47058823529412</v>
      </c>
      <c r="I9" s="61">
        <v>2000</v>
      </c>
      <c r="J9" s="58">
        <f t="shared" si="1"/>
        <v>1837.2233193277311</v>
      </c>
      <c r="K9" s="58">
        <f>J9*Supuestos!$B$18</f>
        <v>918.61165966386557</v>
      </c>
      <c r="L9" s="60">
        <f t="shared" si="2"/>
        <v>918.61165966386557</v>
      </c>
      <c r="M9" s="59">
        <f>Supuestos!$B$19</f>
        <v>40</v>
      </c>
      <c r="N9" s="62" t="str">
        <f t="shared" si="3"/>
        <v>Sí</v>
      </c>
      <c r="O9" s="58">
        <f>E9*Supuestos!$B$27+Supuestos!$B$26</f>
        <v>194.91789533995419</v>
      </c>
      <c r="P9" s="58">
        <f>(I9-O9)*(1-Supuestos!$B$18)</f>
        <v>902.54105233002292</v>
      </c>
    </row>
    <row r="10" spans="1:16" x14ac:dyDescent="0.25">
      <c r="A10" s="67" t="s">
        <v>20</v>
      </c>
      <c r="B10" s="57">
        <v>0.81299999999999994</v>
      </c>
      <c r="C10" s="57">
        <v>0.31</v>
      </c>
      <c r="D10" s="57">
        <v>1.4</v>
      </c>
      <c r="E10" s="58">
        <f>(B10*Supuestos!$B$23+C10*Supuestos!$B$24)*Supuestos!$B$10</f>
        <v>265.82394957983189</v>
      </c>
      <c r="F10" s="59">
        <f>Supuestos!$B$25</f>
        <v>30</v>
      </c>
      <c r="G10" s="60">
        <f t="shared" si="0"/>
        <v>295.82394957983189</v>
      </c>
      <c r="H10" s="58">
        <f>D10*Supuestos!$B$23*Supuestos!$B$10+F10</f>
        <v>408.8235294117647</v>
      </c>
      <c r="I10" s="61">
        <v>3000</v>
      </c>
      <c r="J10" s="58">
        <f t="shared" si="1"/>
        <v>2704.1760504201679</v>
      </c>
      <c r="K10" s="58">
        <f>J10*Supuestos!$B$18</f>
        <v>1352.088025210084</v>
      </c>
      <c r="L10" s="60">
        <f t="shared" si="2"/>
        <v>1352.088025210084</v>
      </c>
      <c r="M10" s="59">
        <f>Supuestos!$B$19</f>
        <v>40</v>
      </c>
      <c r="N10" s="62" t="str">
        <f t="shared" si="3"/>
        <v>Sí</v>
      </c>
      <c r="O10" s="58">
        <f>E10*Supuestos!$B$27+Supuestos!$B$26</f>
        <v>352.15557677616499</v>
      </c>
      <c r="P10" s="58">
        <f>(I10-O10)*(1-Supuestos!$B$18)</f>
        <v>1323.9222116119174</v>
      </c>
    </row>
    <row r="11" spans="1:16" x14ac:dyDescent="0.25">
      <c r="A11" s="68" t="s">
        <v>22</v>
      </c>
      <c r="B11" s="57">
        <v>1.1579999999999999</v>
      </c>
      <c r="C11" s="57">
        <v>0.443</v>
      </c>
      <c r="D11" s="57">
        <v>2.5</v>
      </c>
      <c r="E11" s="58">
        <f>(B11*Supuestos!$B$23+C11*Supuestos!$B$24)*Supuestos!$B$10</f>
        <v>378.84189075630252</v>
      </c>
      <c r="F11" s="59">
        <f>Supuestos!$B$25</f>
        <v>30</v>
      </c>
      <c r="G11" s="60">
        <f t="shared" si="0"/>
        <v>408.84189075630252</v>
      </c>
      <c r="H11" s="58">
        <f>D11*Supuestos!$B$23*Supuestos!$B$10+F11</f>
        <v>706.47058823529403</v>
      </c>
      <c r="I11" s="61">
        <v>4000</v>
      </c>
      <c r="J11" s="58">
        <f t="shared" si="1"/>
        <v>3591.1581092436973</v>
      </c>
      <c r="K11" s="58">
        <f>J11*Supuestos!$B$18</f>
        <v>1795.5790546218486</v>
      </c>
      <c r="L11" s="60">
        <f t="shared" si="2"/>
        <v>1795.5790546218486</v>
      </c>
      <c r="M11" s="59">
        <f>Supuestos!$B$19</f>
        <v>40</v>
      </c>
      <c r="N11" s="62" t="str">
        <f t="shared" si="3"/>
        <v>Sí</v>
      </c>
      <c r="O11" s="58">
        <f>E11*Supuestos!$B$27+Supuestos!$B$26</f>
        <v>485.72223453017574</v>
      </c>
      <c r="P11" s="58">
        <f>(I11-O11)*(1-Supuestos!$B$18)</f>
        <v>1757.1388827349122</v>
      </c>
    </row>
    <row r="14" spans="1:16" ht="15.75" x14ac:dyDescent="0.25">
      <c r="A14" s="69" t="s">
        <v>92</v>
      </c>
    </row>
    <row r="15" spans="1:16" x14ac:dyDescent="0.25">
      <c r="A15" s="45" t="s">
        <v>93</v>
      </c>
    </row>
    <row r="16" spans="1:16" ht="32.1" customHeight="1" x14ac:dyDescent="0.25">
      <c r="A16" s="3" t="s">
        <v>2</v>
      </c>
      <c r="B16" s="3" t="s">
        <v>94</v>
      </c>
      <c r="C16" s="3" t="s">
        <v>95</v>
      </c>
      <c r="D16" s="3" t="s">
        <v>96</v>
      </c>
      <c r="E16" s="3" t="s">
        <v>97</v>
      </c>
      <c r="F16" s="3" t="s">
        <v>87</v>
      </c>
      <c r="G16" s="3" t="s">
        <v>7</v>
      </c>
    </row>
    <row r="17" spans="1:7" x14ac:dyDescent="0.25">
      <c r="A17" s="56" t="str">
        <f t="shared" ref="A17:A23" si="4">A5</f>
        <v>B/N normal</v>
      </c>
      <c r="B17" s="59">
        <f>Supuestos!$B$7</f>
        <v>180000</v>
      </c>
      <c r="C17" s="70">
        <f t="shared" ref="C17:C23" si="5">B17/E5</f>
        <v>17391.304347826088</v>
      </c>
      <c r="D17" s="58">
        <f t="shared" ref="D17:D23" si="6">C17*I5</f>
        <v>12173913.043478262</v>
      </c>
      <c r="E17" s="58">
        <f t="shared" ref="E17:E23" si="7">C17*F5</f>
        <v>521739.13043478265</v>
      </c>
      <c r="F17" s="58">
        <f t="shared" ref="F17:F23" si="8">C17*K5</f>
        <v>5736086.9565217393</v>
      </c>
      <c r="G17" s="60">
        <f t="shared" ref="G17:G23" si="9">C17*L5</f>
        <v>5736086.9565217393</v>
      </c>
    </row>
    <row r="18" spans="1:7" x14ac:dyDescent="0.25">
      <c r="A18" s="63" t="str">
        <f t="shared" si="4"/>
        <v>B/N cargado</v>
      </c>
      <c r="B18" s="59">
        <f>Supuestos!$B$7</f>
        <v>180000</v>
      </c>
      <c r="C18" s="70">
        <f t="shared" si="5"/>
        <v>4682.2742474916395</v>
      </c>
      <c r="D18" s="58">
        <f t="shared" si="6"/>
        <v>3277591.9732441478</v>
      </c>
      <c r="E18" s="58">
        <f t="shared" si="7"/>
        <v>140468.22742474917</v>
      </c>
      <c r="F18" s="58">
        <f t="shared" si="8"/>
        <v>1478561.8729096991</v>
      </c>
      <c r="G18" s="60">
        <f t="shared" si="9"/>
        <v>1478561.8729096991</v>
      </c>
    </row>
    <row r="19" spans="1:7" x14ac:dyDescent="0.25">
      <c r="A19" s="64" t="str">
        <f t="shared" si="4"/>
        <v>B/N total</v>
      </c>
      <c r="B19" s="59">
        <f>Supuestos!$B$7</f>
        <v>180000</v>
      </c>
      <c r="C19" s="70">
        <f t="shared" si="5"/>
        <v>1739.1304347826092</v>
      </c>
      <c r="D19" s="58">
        <f t="shared" si="6"/>
        <v>1217391.3043478264</v>
      </c>
      <c r="E19" s="58">
        <f t="shared" si="7"/>
        <v>52173.913043478278</v>
      </c>
      <c r="F19" s="58">
        <f t="shared" si="8"/>
        <v>492608.69565217406</v>
      </c>
      <c r="G19" s="60">
        <f t="shared" si="9"/>
        <v>492608.69565217406</v>
      </c>
    </row>
    <row r="20" spans="1:7" x14ac:dyDescent="0.25">
      <c r="A20" s="65" t="str">
        <f t="shared" si="4"/>
        <v>Color mínimo</v>
      </c>
      <c r="B20" s="59">
        <f>Supuestos!$B$5</f>
        <v>200000</v>
      </c>
      <c r="C20" s="70">
        <f t="shared" si="5"/>
        <v>7501.6863034337548</v>
      </c>
      <c r="D20" s="58">
        <f t="shared" si="6"/>
        <v>7501686.3034337545</v>
      </c>
      <c r="E20" s="58">
        <f t="shared" si="7"/>
        <v>225050.58910301264</v>
      </c>
      <c r="F20" s="58">
        <f t="shared" si="8"/>
        <v>3538317.8571653711</v>
      </c>
      <c r="G20" s="60">
        <f t="shared" si="9"/>
        <v>3538317.8571653711</v>
      </c>
    </row>
    <row r="21" spans="1:7" x14ac:dyDescent="0.25">
      <c r="A21" s="66" t="str">
        <f t="shared" si="4"/>
        <v>Color medio</v>
      </c>
      <c r="B21" s="59">
        <f>Supuestos!$B$5</f>
        <v>200000</v>
      </c>
      <c r="C21" s="70">
        <f t="shared" si="5"/>
        <v>1506.2885966674946</v>
      </c>
      <c r="D21" s="58">
        <f t="shared" si="6"/>
        <v>3012577.1933349892</v>
      </c>
      <c r="E21" s="58">
        <f t="shared" si="7"/>
        <v>45188.657900024838</v>
      </c>
      <c r="F21" s="58">
        <f t="shared" si="8"/>
        <v>1383694.2677174823</v>
      </c>
      <c r="G21" s="60">
        <f t="shared" si="9"/>
        <v>1383694.2677174823</v>
      </c>
    </row>
    <row r="22" spans="1:7" x14ac:dyDescent="0.25">
      <c r="A22" s="67" t="str">
        <f t="shared" si="4"/>
        <v>Color alto</v>
      </c>
      <c r="B22" s="59">
        <f>Supuestos!$B$5</f>
        <v>200000</v>
      </c>
      <c r="C22" s="70">
        <f t="shared" si="5"/>
        <v>752.37765564812764</v>
      </c>
      <c r="D22" s="58">
        <f t="shared" si="6"/>
        <v>2257132.966944383</v>
      </c>
      <c r="E22" s="58">
        <f t="shared" si="7"/>
        <v>22571.329669443829</v>
      </c>
      <c r="F22" s="58">
        <f t="shared" si="8"/>
        <v>1017280.8186374694</v>
      </c>
      <c r="G22" s="60">
        <f t="shared" si="9"/>
        <v>1017280.8186374694</v>
      </c>
    </row>
    <row r="23" spans="1:7" x14ac:dyDescent="0.25">
      <c r="A23" s="68" t="str">
        <f t="shared" si="4"/>
        <v>Color total</v>
      </c>
      <c r="B23" s="59">
        <f>Supuestos!$B$5</f>
        <v>200000</v>
      </c>
      <c r="C23" s="70">
        <f t="shared" si="5"/>
        <v>527.92472237093216</v>
      </c>
      <c r="D23" s="58">
        <f t="shared" si="6"/>
        <v>2111698.8894837284</v>
      </c>
      <c r="E23" s="58">
        <f t="shared" si="7"/>
        <v>15837.741671127966</v>
      </c>
      <c r="F23" s="58">
        <f t="shared" si="8"/>
        <v>947930.57390630024</v>
      </c>
      <c r="G23" s="60">
        <f t="shared" si="9"/>
        <v>947930.57390630024</v>
      </c>
    </row>
    <row r="25" spans="1:7" x14ac:dyDescent="0.25">
      <c r="A25" s="71" t="s">
        <v>98</v>
      </c>
    </row>
    <row r="26" spans="1:7" x14ac:dyDescent="0.25">
      <c r="A26" s="47" t="s">
        <v>99</v>
      </c>
    </row>
    <row r="27" spans="1:7" x14ac:dyDescent="0.25">
      <c r="A27" s="47" t="s">
        <v>100</v>
      </c>
    </row>
    <row r="28" spans="1:7" x14ac:dyDescent="0.25">
      <c r="A28" s="47" t="s">
        <v>101</v>
      </c>
    </row>
    <row r="29" spans="1:7" x14ac:dyDescent="0.25">
      <c r="A29" s="47" t="s">
        <v>102</v>
      </c>
    </row>
    <row r="30" spans="1:7" x14ac:dyDescent="0.25">
      <c r="A30" s="47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 de precios</vt:lpstr>
      <vt:lpstr>Supuestos</vt:lpstr>
      <vt:lpstr>Desglose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Henao</cp:lastModifiedBy>
  <dcterms:created xsi:type="dcterms:W3CDTF">2026-09-24T01:37:15Z</dcterms:created>
  <dcterms:modified xsi:type="dcterms:W3CDTF">2026-09-24T01:46:02Z</dcterms:modified>
</cp:coreProperties>
</file>